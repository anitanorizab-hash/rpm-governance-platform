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AS 1" sheetId="1" r:id="rId4"/>
    <sheet state="visible" name="TERAS 2" sheetId="2" r:id="rId5"/>
    <sheet state="visible" name="TERAS 3" sheetId="3" r:id="rId6"/>
    <sheet state="visible" name="TERAS 4" sheetId="4" r:id="rId7"/>
    <sheet state="visible" name="TERAS 5" sheetId="5" r:id="rId8"/>
    <sheet state="visible" name="TERAS 6" sheetId="6" r:id="rId9"/>
    <sheet state="visible" name="TERAS 7" sheetId="7" r:id="rId10"/>
    <sheet state="hidden" name="SPP" sheetId="8" r:id="rId11"/>
  </sheets>
  <definedNames/>
  <calcPr/>
  <extLst>
    <ext uri="GoogleSheetsCustomDataVersion2">
      <go:sheetsCustomData xmlns:go="http://customooxmlschemas.google.com/" r:id="rId12" roundtripDataChecksum="wh3LrnoAs6eFdstQWN4skJ3SfVQApSY1D/+dCFSx710="/>
    </ext>
  </extLst>
</workbook>
</file>

<file path=xl/sharedStrings.xml><?xml version="1.0" encoding="utf-8"?>
<sst xmlns="http://schemas.openxmlformats.org/spreadsheetml/2006/main" count="1417" uniqueCount="926">
  <si>
    <t>Plan Taktikal Tahun 2026</t>
  </si>
  <si>
    <t>isi ikut PPD</t>
  </si>
  <si>
    <t xml:space="preserve">Bil. </t>
  </si>
  <si>
    <t>Pemetaan 
PPPM 2026 – 2035</t>
  </si>
  <si>
    <t>KPI Nasional</t>
  </si>
  <si>
    <t>KPI Negeri</t>
  </si>
  <si>
    <t>KPI Daerah</t>
  </si>
  <si>
    <t>TOV KPI</t>
  </si>
  <si>
    <r>
      <rPr>
        <rFont val="Arial"/>
        <b/>
        <color theme="1"/>
        <sz val="10.0"/>
      </rPr>
      <t xml:space="preserve">Sasaran KPI
</t>
    </r>
    <r>
      <rPr>
        <rFont val="Arial"/>
        <b val="0"/>
        <color theme="1"/>
        <sz val="10.0"/>
      </rPr>
      <t>(2026)</t>
    </r>
  </si>
  <si>
    <t>Aktiviti Utama</t>
  </si>
  <si>
    <t xml:space="preserve">Milestone                        </t>
  </si>
  <si>
    <t>Peneraju KPI
(Sektor/Unit)</t>
  </si>
  <si>
    <t>Penyokong KPI
(Sektor/Unit JPN)</t>
  </si>
  <si>
    <r>
      <rPr>
        <rFont val="Arial"/>
        <b/>
        <color theme="1"/>
        <sz val="10.0"/>
      </rPr>
      <t xml:space="preserve">Tarikh Aktiviti Mula
</t>
    </r>
    <r>
      <rPr>
        <rFont val="Arial"/>
        <b val="0"/>
        <color theme="1"/>
        <sz val="10.0"/>
      </rPr>
      <t>(double click to enter date)</t>
    </r>
  </si>
  <si>
    <r>
      <rPr>
        <rFont val="Arial"/>
        <b/>
        <color theme="1"/>
        <sz val="10.0"/>
      </rPr>
      <t xml:space="preserve">Tarikh Aktiviti Tamat
</t>
    </r>
    <r>
      <rPr>
        <rFont val="Arial"/>
        <b val="0"/>
        <color theme="1"/>
        <sz val="10.0"/>
      </rPr>
      <t>(double click to enter date)</t>
    </r>
  </si>
  <si>
    <r>
      <rPr>
        <rFont val="Arial"/>
        <b/>
        <color theme="1"/>
        <sz val="10.0"/>
      </rPr>
      <t xml:space="preserve">Tempoh
</t>
    </r>
    <r>
      <rPr>
        <rFont val="Arial"/>
        <b val="0"/>
        <color theme="1"/>
        <sz val="10.0"/>
      </rPr>
      <t>(minggu)</t>
    </r>
  </si>
  <si>
    <t>Kos / Anggaran Perbelanjaan Aktiviti</t>
  </si>
  <si>
    <t>Perincian Kos &amp; Sumber Aktiviti</t>
  </si>
  <si>
    <t>Status Pelaksanaan Aktiviti</t>
  </si>
  <si>
    <t>Catatan</t>
  </si>
  <si>
    <r>
      <rPr>
        <rFont val="Arial"/>
        <b/>
        <color theme="1"/>
        <sz val="10.0"/>
      </rPr>
      <t xml:space="preserve">Justifikasi 
</t>
    </r>
    <r>
      <rPr>
        <rFont val="Arial"/>
        <color theme="1"/>
        <sz val="10.0"/>
      </rPr>
      <t>(jika tidak dilaksana/ pinda/ gugur)</t>
    </r>
  </si>
  <si>
    <t>TS1 S2 I1 KPI5</t>
  </si>
  <si>
    <t>Bilangan kelas prasekolah KPM dibuka sebagai persediaan penting untuk mewajibkan pendidikan prasekolah pada masa hadapan pada tahun 2027.</t>
  </si>
  <si>
    <t>Bilangan kelas prasekolah KPM di LMS dibuka sebagai persediaan penting untuk mewajibkan pendidikan prasekolah pada masa hadapan pada tahun 2027.</t>
  </si>
  <si>
    <t xml:space="preserve">KPI Baharu
</t>
  </si>
  <si>
    <t>Sasaran Negeri :
27
Sasaran Daerah 2026 :
6
Sasaran Daerah 2027:
4</t>
  </si>
  <si>
    <t>Pemerkasaan kefahaman dasar dan inisiatif reformasi pendidikan berkaitan peluasan prasekolah perdana dan prasekolah pendidikan khas.</t>
  </si>
  <si>
    <t>1. Mengenalpasti 22 buah sekolah yang mempunyai lebihan kelas fizikal selesai.</t>
  </si>
  <si>
    <t>SPS
(Unit Prasekolah dan Rendah)
Puan Nor Mazainim binti Ahmad Khalib</t>
  </si>
  <si>
    <t xml:space="preserve">SPr
SPb
Unit Infrastruktur
</t>
  </si>
  <si>
    <t>RM2000.00</t>
  </si>
  <si>
    <r>
      <rPr>
        <rFont val="Arial"/>
        <b/>
        <strike/>
        <color theme="1"/>
        <sz val="10.0"/>
      </rPr>
      <t>OS29000:</t>
    </r>
    <r>
      <rPr>
        <rFont val="Arial"/>
        <strike/>
        <color theme="1"/>
        <sz val="10.0"/>
      </rPr>
      <t xml:space="preserve">
RM20.00 x 50 x 2 kali = </t>
    </r>
    <r>
      <rPr>
        <rFont val="Arial"/>
        <b/>
        <strike/>
        <color theme="1"/>
        <sz val="10.0"/>
      </rPr>
      <t>RM2000.00</t>
    </r>
  </si>
  <si>
    <t xml:space="preserve">Belum Dilaksanakan </t>
  </si>
  <si>
    <t>2. SLU dengan 6 buah sekolah yang mempunyai lebihan kelas fizikal dan enrolmen yang tinggi dua kali setahun selesai.</t>
  </si>
  <si>
    <t>3. Sesi lawatan tapak cadangan peluasan bersama-sama Sektor Perancangan selesai.</t>
  </si>
  <si>
    <r>
      <rPr>
        <rFont val="Arial"/>
        <color theme="1"/>
        <sz val="10.0"/>
      </rPr>
      <t xml:space="preserve">TS1 S2 I1
</t>
    </r>
    <r>
      <rPr>
        <rFont val="Arial"/>
        <color theme="1"/>
        <sz val="10.0"/>
      </rPr>
      <t>40% sekolah mencapai taraf kualiti cemerlang (Sekolah Inspirasi)</t>
    </r>
  </si>
  <si>
    <t>Peratus sekolah mencapai taraf kualiti cemerlang (Sekolah Inspirasi)</t>
  </si>
  <si>
    <t>Bilangan sekolah yang diiktiraf sebagai Sekolah Inspirasi yang menepati fokus utama reformasi sekolah kebangsaan  
*10 sekolah (5 SK dan 5 SMK) dipilih di setiap daerah sebagai Sekolah Inspirasi</t>
  </si>
  <si>
    <t xml:space="preserve">Bilangan sekolah yang diiktiraf sebagai Sekolah Inspirasi yang menepati fokus utama reformasi sekolah kebangsaan  </t>
  </si>
  <si>
    <t>Pemantapan Prestasi Menyeluruh Sekolah Ke Arah Pencapaian Status Sekolah Inspirasi</t>
  </si>
  <si>
    <t xml:space="preserve">Lawatan Verifikasi Fizikal ke 10 Sekolah Inspirasi selesai dilaksanakan
 </t>
  </si>
  <si>
    <t>SPr</t>
  </si>
  <si>
    <t>Sektor Pembelajaran
Sektor Pengurusan Sekolah
Sektor Pembangunan Murid</t>
  </si>
  <si>
    <t xml:space="preserve">OS21000 :
RM 1,020
</t>
  </si>
  <si>
    <t>OS21000:
 (12 pegawai x 2 kali setahun x 3 pegawai) x RM100 = RM7,200
 OS29000:
 12 pegawai x RM30 x 4 sesi = RM1,440
 Catatan:
 Pelaksanaan bimbingan dan pelaporan data adalah di bawah tanggungjawab penuh pegawai masing-masing.</t>
  </si>
  <si>
    <t>BELUM LAKSANA</t>
  </si>
  <si>
    <t>Perkongsian Amalan Terbaik Sekolah Inspirasi selesai dilaksanakan</t>
  </si>
  <si>
    <t xml:space="preserve">OS29000 :
RM 400
</t>
  </si>
  <si>
    <t>TS 1S1 I1 KPI2</t>
  </si>
  <si>
    <t>Peratus penempatan guru sains dan matematik mengikut opsyen.</t>
  </si>
  <si>
    <t xml:space="preserve">
SAINS:
SM: 100%
SR:  100%
MATEMATIK 
SM: 100% 
SR: 99.02%
</t>
  </si>
  <si>
    <t xml:space="preserve">SAINS:
SM: 100%
SR:  100%
MATEMATIK 
SM: 100% 
SR: 100%
</t>
  </si>
  <si>
    <t>Penetapan semula tagging guru berkelayakan mengajar mata pelajaran sains dan matematik</t>
  </si>
  <si>
    <t>SLU bersama Penolong Kanan Pentadbiran secara berkelompok mengikut kumpulan sasar (sekolah berkeperluan)</t>
  </si>
  <si>
    <t>UMT6, SPS
UPR, SPS</t>
  </si>
  <si>
    <t>SPb</t>
  </si>
  <si>
    <t xml:space="preserve">Siri 1: Januari 2026
Siri 2: Julai 2026
</t>
  </si>
  <si>
    <t>2 bulan</t>
  </si>
  <si>
    <t>Tiada</t>
  </si>
  <si>
    <t>Siri 1 - Selesai</t>
  </si>
  <si>
    <t>Penyusunan dan penempatan secara redeployment, eg-Tukar dan guru baharu mengikut opsyen</t>
  </si>
  <si>
    <t>Siri 1: Mac 2026
Siri 2: Mei 2026
Siri 3: September 2026
Siri 4: Disember 2026</t>
  </si>
  <si>
    <t>4 bulan</t>
  </si>
  <si>
    <r>
      <rPr>
        <rFont val="Arial"/>
        <strike/>
        <color theme="1"/>
        <sz val="10.0"/>
      </rPr>
      <t xml:space="preserve">TS1 S1 I2 KPI2
</t>
    </r>
    <r>
      <rPr>
        <rFont val="Arial"/>
        <strike/>
        <color theme="1"/>
        <sz val="10.0"/>
      </rPr>
      <t>4,000 orang guru bahasa Inggeris mencapai Tahap C1 mengikut kerangka Common European Framework of Reference for Languages (CEFR) bagi memastikan pendidik berkeupayaan ting</t>
    </r>
    <r>
      <rPr>
        <rFont val="Arial"/>
        <strike/>
        <color theme="1"/>
        <sz val="10.0"/>
      </rPr>
      <t>gi</t>
    </r>
  </si>
  <si>
    <t>Bilangan guru bahasa Inggeris mencapai Tahap C1 mengikut kerangka Common European Framework of Reference for Languages (CEFR) bagi memastikan pendidik berkeupayaan tinggi</t>
  </si>
  <si>
    <t>TOV Negeri :
123
TOV Daerah :
9</t>
  </si>
  <si>
    <t>Sasaran Negeri :
150
Sasaran Daerah :
12</t>
  </si>
  <si>
    <t>Bimbingan bagi mencapai tahap penguasaan CEFR C1.</t>
  </si>
  <si>
    <t xml:space="preserve">1.  Pelaksanaan bengkel kerja kejurulatihan Untuk 20  Fasilitator Pro-ELT Enhance di peringkat negeri selesai.
</t>
  </si>
  <si>
    <t>20 org fasilitator x Rm20.00 x 3 hari = RM1,200.00</t>
  </si>
  <si>
    <t>OS21= RM32,000.00
OS29 = RM36,000.00</t>
  </si>
  <si>
    <t>2.  Pelaksanaan PLC bersama 90 peserta selesai.</t>
  </si>
  <si>
    <t>ELTC</t>
  </si>
  <si>
    <t>4 org fasilitator + 90 peserta x RM20.00 x 1 PLC  = RM1,880.00</t>
  </si>
  <si>
    <t>OS21= RM
OS29 = RM1,880.00</t>
  </si>
  <si>
    <t>Telah selesai</t>
  </si>
  <si>
    <r>
      <rPr>
        <rFont val="Arial"/>
        <color theme="1"/>
        <sz val="10.0"/>
      </rPr>
      <t xml:space="preserve">TS1 S1 I2 KPI2
</t>
    </r>
    <r>
      <rPr>
        <rFont val="Arial"/>
        <color theme="1"/>
        <sz val="10.0"/>
      </rPr>
      <t>45% guru Bahasa Melayu yang menduduki Ujian Penguasaan Bahasa Melayu Guru (UPBMG) mencapai Tahap 5</t>
    </r>
  </si>
  <si>
    <t>Peratus guru Bahasa Melayu yang menduduki Ujian Penguasaan Bahasa Melayu Guru (UPBMG) mencapai Tahap 5</t>
  </si>
  <si>
    <t>Peratus guru BM yang mencapai kompetensi berbahasa berdasarkan KSBM</t>
  </si>
  <si>
    <t>Pemerkasaan Guru Bahasa Melayu dalam Kemahiran Berbahasa.</t>
  </si>
  <si>
    <t>Bengkel Pemantapan Kompetensi Guru Bahasa Melayu Bukan Opsyen dalam Kemahiran Menulis.</t>
  </si>
  <si>
    <t>SPb / SISC+ Bahasa</t>
  </si>
  <si>
    <t xml:space="preserve">
14.05.2026 (SR)
19.05.2026 (SM)</t>
  </si>
  <si>
    <t>OS29000:
180 orang peserta X RM 20 X 1 hari = RM3600.00
 8 orang Fasilitator X RM 20 X 1 hari = RM160.00
 2 orang Pegawai  X RM 20 X 2 hari = RM80.00
OS21000: 190 X RM 50 X 1 =  RM9500.00</t>
  </si>
  <si>
    <t>OS21,= RM10,200.00
OS29 = RM2040.00</t>
  </si>
  <si>
    <t>Bengkel Persediaan Pengukuhan Bahasa Melayu Guru Berfokus Calon UPBMG ( 2 siri)</t>
  </si>
  <si>
    <t>16.07.2026 (Siri 1)
26.08.2026 (Siri 2)</t>
  </si>
  <si>
    <t>OS29000:
100 orang peserta X RM 20 X 2 hari = RM4000.00
2 orang JU X RM 20 X 2 hari = RM80.00
2 orang Pegawai  X RM 20 X 2 hari = RM80.00
OS21000: 104 X RM 50 X 2 = RM10,400.00</t>
  </si>
  <si>
    <t>OS21 = RM5,481.00
OS29 = RM1,740.00</t>
  </si>
  <si>
    <t>Belum selesai</t>
  </si>
  <si>
    <t xml:space="preserve">  </t>
  </si>
  <si>
    <t xml:space="preserve">TS1 S1 I2 KPI1 
Peratus pembangunan kerangka pelaksanaan Dasar MBMMBI. (2026: 50%, 2027: 100%)
</t>
  </si>
  <si>
    <t>Peratus pembangunan kerangka pelaksanaan Dasar MBMMBI. (2026: 50%, 2027: 100%)</t>
  </si>
  <si>
    <t>Peratus sekolah yang bersedia melaksanakan Dasar MBMMBI berdasarkan kerangka pelaksanaan kebangsaan</t>
  </si>
  <si>
    <t>Peratus sekolah yang bersedia melaksanakan Dasar MBMMBI berdasarkan kerangka pelaksanaan negeri.</t>
  </si>
  <si>
    <t xml:space="preserve">TOV Negeri :
TOV Daerah :
</t>
  </si>
  <si>
    <t>Sasaran Negeri :
100%
Sasaran Daerah : 50%</t>
  </si>
  <si>
    <t>Pengukuhan pelibatan murid dalam penguasaan Bahasa Melayu dan Bahasa Inggeris.</t>
  </si>
  <si>
    <t xml:space="preserve">1.  Pelaksanaan Program dan aktiviti kebahasaan  kepada pegawai SISC+ Bahasa di peringkat negeri selesai.
</t>
  </si>
  <si>
    <t>SPM</t>
  </si>
  <si>
    <t>1. 50 orang pegawai x RM20.00 x 3 kali = RM3,000.00.
2. 1105 buah sekolah (SR / SM) x RM200.00 = RM221,00.00</t>
  </si>
  <si>
    <t>OS29 = RM3,000.00
OS42 = RM221,000.00</t>
  </si>
  <si>
    <t>2.  Pelaksanaan Program dan aktiviti kebahasaan kepada guru SR dan SM selesai.</t>
  </si>
  <si>
    <t>1. 3 orang pegawai + 12 JUD + 146 guru SR &amp; SM x RM20.00 x 3 kali = RM9,660.00
2. 146 buah sekolah (SR &amp; SM) x RM200.00 = RM29,200.00</t>
  </si>
  <si>
    <t>OS29 = RM9,660.00
OS42 = RM29,200.00</t>
  </si>
  <si>
    <t>3.  Pelaksanaan Program dan aktiviti kebahasaan kepada murid SR dan SM selesai.</t>
  </si>
  <si>
    <t xml:space="preserve">Catatan: </t>
  </si>
  <si>
    <t>Kod pemetaan:
TS: Teras Strategik
S: Strategi
I: Inisiatif</t>
  </si>
  <si>
    <t xml:space="preserve"> 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</si>
  <si>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</si>
  <si>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t>Peneraju KPI
(Sektor/Unit JPN)</t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</si>
  <si>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</si>
  <si>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</si>
  <si>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</si>
  <si>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</si>
  <si>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TS2 S1 I1</t>
  </si>
  <si>
    <t>Peratus guru Tahun 1 dan Tingkatan 1 bersedia untuk melaksanakan Kurikulum Pendidikan Kebangsaan 2027 (KP2027) melalui program latihan berstruktur.</t>
  </si>
  <si>
    <t>Peratus guru Tahun 1 dan Tingkatan 1 di PPD LMS bersedia untuk melaksanakan Kurikulum Pendidikan Kebangsaan 2027 (KP2027) melalui program latihan berstruktur.</t>
  </si>
  <si>
    <t xml:space="preserve">
TOV Negeri :
0%
TOV Daerah : 
0%</t>
  </si>
  <si>
    <t xml:space="preserve">
Sasaran Negeri :
100%
Sasaran Daerah :
100%</t>
  </si>
  <si>
    <t>Penataran Kurikulum Persekolahan Semua Guru Mata Pelajaran Tahun 1 dan Tingkatan 1, 2027</t>
  </si>
  <si>
    <t>1.  Penataran kepada semua JU Mata Pelajaran Daerah oleh JPN selesai.</t>
  </si>
  <si>
    <t>SPr, SPS, SPM</t>
  </si>
  <si>
    <t>RM50 000.00</t>
  </si>
  <si>
    <r>
      <rPr>
        <rFont val="Arial"/>
        <b/>
        <strike/>
        <color theme="1"/>
        <sz val="11.0"/>
      </rPr>
      <t>0S21000 :</t>
    </r>
    <r>
      <rPr>
        <rFont val="Arial"/>
        <strike/>
        <color theme="1"/>
        <sz val="11.0"/>
      </rPr>
      <t xml:space="preserve">                      RM 50 000.00                                 ( 100 guru )</t>
    </r>
  </si>
  <si>
    <t>2.  Penataran kepada semua Guru Mata Pelajaran Tahun 1 dan Tingkatan 1 setiap sekolah selesai.</t>
  </si>
  <si>
    <t>SPb, PGB,</t>
  </si>
  <si>
    <t>RM248 900.00</t>
  </si>
  <si>
    <r>
      <rPr>
        <rFont val="Arial"/>
        <b/>
        <strike/>
        <color theme="1"/>
        <sz val="11.0"/>
      </rPr>
      <t xml:space="preserve">OS21000 </t>
    </r>
    <r>
      <rPr>
        <rFont val="Arial"/>
        <strike/>
        <color theme="1"/>
        <sz val="11.0"/>
      </rPr>
      <t xml:space="preserve">:                         RM 50 000.00                   </t>
    </r>
    <r>
      <rPr>
        <rFont val="Arial"/>
        <b/>
        <strike/>
        <color theme="1"/>
        <sz val="11.0"/>
      </rPr>
      <t xml:space="preserve">OS29000 </t>
    </r>
    <r>
      <rPr>
        <rFont val="Arial"/>
        <strike/>
        <color theme="1"/>
        <sz val="11.0"/>
      </rPr>
      <t xml:space="preserve">: RM198900.00                       13260 guru x RM15 </t>
    </r>
  </si>
  <si>
    <t>3.  Penataran secara PLC dalam kalangan panitia di peringkat sekolah selesai.</t>
  </si>
  <si>
    <t>SPS-SIP+</t>
  </si>
  <si>
    <r>
      <rPr>
        <rFont val="Arial"/>
        <strike/>
        <color theme="1"/>
        <sz val="11.0"/>
      </rPr>
      <t>4.  Tinjauan kefahaman dan kesediaan guru melaksanakan kurikulum Persekolahan 2027   (</t>
    </r>
    <r>
      <rPr>
        <rFont val="Arial"/>
        <i/>
        <strike/>
        <color theme="1"/>
        <sz val="11.0"/>
      </rPr>
      <t>google form</t>
    </r>
    <r>
      <rPr>
        <rFont val="Arial"/>
        <strike/>
        <color theme="1"/>
        <sz val="11.0"/>
      </rPr>
      <t xml:space="preserve"> ) selesai.</t>
    </r>
  </si>
  <si>
    <t>SISC+</t>
  </si>
  <si>
    <t>5.  Kunjung Bimbing Berfokus kesediaan guru melaksanakan Kurikulum Persekolahan 2027 selesai.</t>
  </si>
  <si>
    <t>RM20 000.00</t>
  </si>
  <si>
    <r>
      <rPr>
        <rFont val="Arial"/>
        <b/>
        <strike/>
        <color theme="1"/>
        <sz val="11.0"/>
      </rPr>
      <t>OS21000</t>
    </r>
    <r>
      <rPr>
        <rFont val="Arial"/>
        <strike/>
        <color theme="1"/>
        <sz val="11.0"/>
      </rPr>
      <t xml:space="preserve"> :                           RM 20 000.00                          ( tuntutan perjalanan 28 pegawai )</t>
    </r>
  </si>
  <si>
    <t>TS2 S2 I3</t>
  </si>
  <si>
    <t>Peratus kelas prasekolah yang mempunyai prasarana asas dibekalkan dengan Smart TV untuk pelaksanaan pendidikan prasekolah yang optimum</t>
  </si>
  <si>
    <t>KPI Baharu</t>
  </si>
  <si>
    <t>Sasaran Negeri :
50%
Sasaran Daerah :</t>
  </si>
  <si>
    <t xml:space="preserve">Pemerkasaan kefahaman dasar dan inisiatif reformasi pendidikan prasekolah
</t>
  </si>
  <si>
    <t xml:space="preserve">1.  Pelaksanaan Pengesahan Data kelas prasekolah kepada sektor yang bertanggungjawab selesai. 
(Suku Tahun 1)
</t>
  </si>
  <si>
    <t>SPS</t>
  </si>
  <si>
    <t>SIP</t>
  </si>
  <si>
    <t>Belum Dilaksanakan</t>
  </si>
  <si>
    <t>2.  Pelaksanaan Perancangan Perolehan &amp; Kelulusan melalui mesyuarat spesifikasi selesai.  (Suku Tahun 2)</t>
  </si>
  <si>
    <t>RM700.00</t>
  </si>
  <si>
    <r>
      <rPr>
        <rFont val="Arial"/>
        <b/>
        <strike/>
        <color theme="1"/>
        <sz val="11.0"/>
      </rPr>
      <t>OS29000:</t>
    </r>
    <r>
      <rPr>
        <rFont val="Arial"/>
        <strike/>
        <color theme="1"/>
        <sz val="11.0"/>
      </rPr>
      <t xml:space="preserve">
35 Pegawai x RM20.00  x 1 kali = RM 700.00</t>
    </r>
  </si>
  <si>
    <t>3.  Pelaksanaan Perolehan &amp; Agihan Berperingkat kepada 12 PPD selesai. 
(Suku Tahun 3)</t>
  </si>
  <si>
    <t>4.  Pelaksanaan Pemantauan &amp; Penilaian Impak kepada 472 buah kelas prasekolah selesai.  
(Suku Tahun 4)</t>
  </si>
  <si>
    <t>TS2 S2 I1 KPI1</t>
  </si>
  <si>
    <t>Peratus murid Tahun 1 menguasai asas literasi dan numerasi.</t>
  </si>
  <si>
    <t>100% Peratus murid Tahun 1 menguasai asas literasi dan numerasi.</t>
  </si>
  <si>
    <t>TOV Negeri :
89.43%
TOV Daerah : 90.3%</t>
  </si>
  <si>
    <t>Sasaran Negeri :
100%
Sasaran Daerah : 100%</t>
  </si>
  <si>
    <t>Pemerkasaan Sistem Sokongan Sekolah Terhadap Peningkatan Penguasaan Literasi Dan Numerasi Murid Tahun 1</t>
  </si>
  <si>
    <t>1.  Pelaksanaan Sesi Libat Urus Sokongan literasi dan numerasi Pejabat Pendidikan Daerah dan Jabatan Pendidikan Negeri selesai.</t>
  </si>
  <si>
    <t>SPS/ SPM</t>
  </si>
  <si>
    <t>OS21000 :                         RM 1000.00                   OS29000 : RM1000.00                       50 x RM20</t>
  </si>
  <si>
    <t>Menunggu pemurnian Kamus KPI oleh Bahagian Peneraju</t>
  </si>
  <si>
    <t>2.  Pelaksanaan Bengkel Kerja Penyelarasan Sokongan Pembelajaran Negeri Perak untuk SISC+ dan PPPD Pemulihan Khas selesai.</t>
  </si>
  <si>
    <t>PPD</t>
  </si>
  <si>
    <t>RM3800.00</t>
  </si>
  <si>
    <t>OS21000 :                         RM 2000.00                   OS29000 : RM1800.00                       90 x RM20</t>
  </si>
  <si>
    <t>3.  Bengkel pemantapan khidmat sokongan dan bimbingan berkesan kepada Taskforce Literasi dan Numerasi Daerah selesai dilaksanakan.</t>
  </si>
  <si>
    <t>JN</t>
  </si>
  <si>
    <r>
      <rPr>
        <rFont val="Arial"/>
        <strike/>
        <color theme="1"/>
        <sz val="11.0"/>
      </rPr>
      <t>OS21000 :</t>
    </r>
    <r>
      <rPr>
        <rFont val="Arial"/>
        <strike/>
        <color theme="1"/>
        <sz val="11.0"/>
      </rPr>
      <t xml:space="preserve">                         RM 1000.00                  </t>
    </r>
    <r>
      <rPr>
        <rFont val="Arial"/>
        <strike/>
        <color theme="1"/>
        <sz val="11.0"/>
      </rPr>
      <t xml:space="preserve"> OS29000 :</t>
    </r>
    <r>
      <rPr>
        <rFont val="Arial"/>
        <strike/>
        <color theme="1"/>
        <sz val="11.0"/>
      </rPr>
      <t xml:space="preserve"> RM1000.00                       50 x RM20</t>
    </r>
  </si>
  <si>
    <t>4.  Bimbingan bersepadu (pegawai,SISC+,SIP+) ke sekolah-sekolah berdasarkan data selesai dilaksanakan.</t>
  </si>
  <si>
    <t>RM4000.00</t>
  </si>
  <si>
    <r>
      <rPr>
        <rFont val="Arial"/>
        <strike/>
        <color theme="1"/>
        <sz val="11.0"/>
      </rPr>
      <t>OS21000 :</t>
    </r>
    <r>
      <rPr>
        <rFont val="Arial"/>
        <strike/>
        <color theme="1"/>
        <sz val="11.0"/>
      </rPr>
      <t xml:space="preserve">                           RM 4 000.00                          (tuntutan perjalanan pegawai)</t>
    </r>
  </si>
  <si>
    <t>5.  Bimbingan bersasar ke sekolah-sekolah fokus (berdasarkan data) selesai dilaksanakan.</t>
  </si>
  <si>
    <r>
      <rPr>
        <rFont val="Arial"/>
        <strike/>
        <color theme="1"/>
        <sz val="11.0"/>
      </rPr>
      <t>OS21000 :</t>
    </r>
    <r>
      <rPr>
        <rFont val="Arial"/>
        <strike/>
        <color theme="1"/>
        <sz val="11.0"/>
      </rPr>
      <t xml:space="preserve">                           RM 4 000.00                          (tuntutan perjalanan pegawai)</t>
    </r>
  </si>
  <si>
    <t>TS2 S1 I1 KPI1</t>
  </si>
  <si>
    <t xml:space="preserve">Peratus murid prasekolah menguasai kemahiran berkomunikasi dan bersosialisasi. </t>
  </si>
  <si>
    <t>Meningkatkan peratus penguasaan murid dalam kemahiran berkomunikasi dan  bersosialisasi</t>
  </si>
  <si>
    <t>Pemerkasaan Pembelajaran Bahasa dan Literasi bagi Meningkatkan Kemahiran Komunikasi dan Sosialisasi Murid Prasekolah</t>
  </si>
  <si>
    <t xml:space="preserve">Bengkel Peningkatan kualiti Guru Prasekolah dalam komunikasi dan sosialisasi  Bahasa Inggeris
 </t>
  </si>
  <si>
    <t>SPS 
(Unit Prasekolah)
PPD</t>
  </si>
  <si>
    <t>13 ogos 2026</t>
  </si>
  <si>
    <t>13 0gos 2026</t>
  </si>
  <si>
    <t>125 orang guru X RM 10 X 1 hari = RM 1,250.00
OS29000 = RM1250.00</t>
  </si>
  <si>
    <t>TS2 S3 I1 KPI1</t>
  </si>
  <si>
    <t>Peratus murid dalam aliran sains tulen di peringkat menengah atas</t>
  </si>
  <si>
    <t>Peratus murid menyertai aliran STEM di peringkat menengah atas</t>
  </si>
  <si>
    <t xml:space="preserve">Pengukuhan konsep asas sains dan Matematik  dalam kalangan murid melalui latihan pedagogi IBSE dan IBME serta PBL STEM Bersepadu 
</t>
  </si>
  <si>
    <t xml:space="preserve">Bengkel Penyelarasan IBSE dan IBME serta PBL STEM Bersepadu dalam Pengajaran &amp; Pembelajaran Kepada GK MP, Ketua Panitia Matematik dan Sains SM. </t>
  </si>
  <si>
    <t>1 minggu</t>
  </si>
  <si>
    <t>OS27000
RM 2000.00
OS29000
150 orang x RM 20 = RM 3000.00
OS21000 
RM50 x 145 = RM7250</t>
  </si>
  <si>
    <t>Karnival PBL STEM SR dan SM Daerah</t>
  </si>
  <si>
    <t>Julai 2026</t>
  </si>
  <si>
    <t>Julai</t>
  </si>
  <si>
    <t>OS29000
20 pasukan x 5 peserta x RM20  = RM2000
OS21000
RM50 x 120 orang = RM 6000.00</t>
  </si>
  <si>
    <t>Pertandingan Laman STEM Sekolah Rendah dan Sekolah Menengah.</t>
  </si>
  <si>
    <t>16 minggu</t>
  </si>
  <si>
    <t>OS21000
RM50 x 10 orang = RM 500.00</t>
  </si>
  <si>
    <t>Pemerkasaan Bimbingan Psikometrik dan Pendidikan Kerjaya STEM bagi Penentuan Hala Tuju Murid di sekolah</t>
  </si>
  <si>
    <t>Pelaksanaan Pentaksiran Psikometrik (PPSi) bagi IMK dan IKP tingkatan 3 di peringkat sekolah.</t>
  </si>
  <si>
    <t>Unit Kaunseling &amp; Kerjaya Murid
(SPM)</t>
  </si>
  <si>
    <t>Ogos 2026</t>
  </si>
  <si>
    <t>TIADA</t>
  </si>
  <si>
    <t>Bengkel pemilihan aliran berdasarkan dapatan IMK dan IKP dilaksanakan oleh wakil GBKSM di peringkat sekolah masing-masing. (1 kali)</t>
  </si>
  <si>
    <t>1 hari</t>
  </si>
  <si>
    <t>PCG Kaunseling sekolah</t>
  </si>
  <si>
    <t>Pelaksanaan minggu STEM di peringkat sekolah.</t>
  </si>
  <si>
    <t>Sept 2026</t>
  </si>
  <si>
    <t>PCG Panitia Matapelajaran</t>
  </si>
  <si>
    <t>Karnival Pendidikan Kerjaya Murid (Sukses) dilaksanakan di peringkat daerah.</t>
  </si>
  <si>
    <t>Mei 2026</t>
  </si>
  <si>
    <t>2 hari</t>
  </si>
  <si>
    <t>Yuran Majlis Guru Kaunseling/ PCG Kaunseling</t>
  </si>
  <si>
    <t>Peratus penglibatan murid sekolah menengah dalam aktiviti yang menyumbang kepada pembentukan karakter</t>
  </si>
  <si>
    <t>Peratus pelibatan murid sekolah menengah dalam aktiviti yang menyumbang kepada pembentukan karakter</t>
  </si>
  <si>
    <t xml:space="preserve">Pemerkasaan Kepimpinan Murid dalam menyumbang pembentukan karakter murid </t>
  </si>
  <si>
    <t>Bimbingan kepada pentadbir sekolah dalam melaksanakan program peringkat  daerah, negeri dan kebangsaan.</t>
  </si>
  <si>
    <t>SPI,SPK,PPD</t>
  </si>
  <si>
    <t>MAC</t>
  </si>
  <si>
    <t>NOVEMBER</t>
  </si>
  <si>
    <t>SEPANJANG TAHUN</t>
  </si>
  <si>
    <r>
      <rPr>
        <rFont val="Arial"/>
        <b/>
        <color theme="1"/>
        <sz val="11.0"/>
      </rPr>
      <t>OS29000</t>
    </r>
    <r>
      <rPr>
        <rFont val="Arial"/>
        <color theme="1"/>
        <sz val="11.0"/>
      </rPr>
      <t xml:space="preserve"> =RM20 X 20 X 2 Hari = RM800
</t>
    </r>
    <r>
      <rPr>
        <rFont val="Arial"/>
        <b/>
        <color theme="1"/>
        <sz val="11.0"/>
      </rPr>
      <t xml:space="preserve">OS21000 </t>
    </r>
    <r>
      <rPr>
        <rFont val="Arial"/>
        <color theme="1"/>
        <sz val="11.0"/>
      </rPr>
      <t>= RM5000</t>
    </r>
  </si>
  <si>
    <t>Belum Selesai</t>
  </si>
  <si>
    <r>
      <rPr>
        <rFont val="Arial"/>
        <b/>
        <color theme="1"/>
        <sz val="11.0"/>
      </rPr>
      <t>OS29000</t>
    </r>
    <r>
      <rPr>
        <rFont val="Arial"/>
        <color theme="1"/>
        <sz val="11.0"/>
      </rPr>
      <t xml:space="preserve"> = RM40 X 60 X 2 Hari =RM4,800 
</t>
    </r>
    <r>
      <rPr>
        <rFont val="Arial"/>
        <b/>
        <color theme="1"/>
        <sz val="11.0"/>
      </rPr>
      <t>OS21000</t>
    </r>
    <r>
      <rPr>
        <rFont val="Arial"/>
        <color theme="1"/>
        <sz val="11.0"/>
      </rPr>
      <t xml:space="preserve">  =   RM15,000</t>
    </r>
  </si>
  <si>
    <t>APRIL</t>
  </si>
  <si>
    <t>MEI</t>
  </si>
  <si>
    <t>2 BULAN</t>
  </si>
  <si>
    <r>
      <rPr>
        <rFont val="Arial"/>
        <b/>
        <color theme="1"/>
        <sz val="11.0"/>
      </rPr>
      <t>OS42000</t>
    </r>
    <r>
      <rPr>
        <rFont val="Arial"/>
        <color theme="1"/>
        <sz val="11.0"/>
      </rPr>
      <t xml:space="preserve"> = RM40 X 120 X 3 = 14,400
</t>
    </r>
    <r>
      <rPr>
        <rFont val="Arial"/>
        <b/>
        <color theme="1"/>
        <sz val="11.0"/>
      </rPr>
      <t>OS21000</t>
    </r>
    <r>
      <rPr>
        <rFont val="Arial"/>
        <color theme="1"/>
        <sz val="11.0"/>
      </rPr>
      <t xml:space="preserve"> = RM15,000</t>
    </r>
  </si>
  <si>
    <t>PPD HEM</t>
  </si>
  <si>
    <r>
      <rPr>
        <rFont val="Arial"/>
        <b/>
        <color theme="1"/>
        <sz val="11.0"/>
      </rPr>
      <t>OS42000</t>
    </r>
    <r>
      <rPr>
        <rFont val="Arial"/>
        <color theme="1"/>
        <sz val="11.0"/>
      </rPr>
      <t xml:space="preserve"> = RM40 X 240 X 3 = RM 28,800.00
</t>
    </r>
    <r>
      <rPr>
        <rFont val="Arial"/>
        <b/>
        <color theme="1"/>
        <sz val="11.0"/>
      </rPr>
      <t>OS21000</t>
    </r>
    <r>
      <rPr>
        <rFont val="Arial"/>
        <color theme="1"/>
        <sz val="11.0"/>
      </rPr>
      <t xml:space="preserve"> = RM30,000.00</t>
    </r>
  </si>
  <si>
    <t>Kunjung Bantu Kelas takmir dan Penghayatan Hadis 40 di 8 buah Asrama Harian dan 5 buah asrama SABK 1 buah SBP</t>
  </si>
  <si>
    <t>JAN</t>
  </si>
  <si>
    <t>DISEMBER</t>
  </si>
  <si>
    <r>
      <rPr>
        <rFont val="Arial"/>
        <b/>
        <color theme="1"/>
        <sz val="11.0"/>
      </rPr>
      <t>OS42000</t>
    </r>
    <r>
      <rPr>
        <rFont val="Arial"/>
        <color theme="1"/>
        <sz val="11.0"/>
      </rPr>
      <t xml:space="preserve"> = RM40 X 120 X 3 = 14,400
</t>
    </r>
    <r>
      <rPr>
        <rFont val="Arial"/>
        <b/>
        <color theme="1"/>
        <sz val="11.0"/>
      </rPr>
      <t>OS21000</t>
    </r>
    <r>
      <rPr>
        <rFont val="Arial"/>
        <color theme="1"/>
        <sz val="11.0"/>
      </rPr>
      <t xml:space="preserve"> = RM15,000</t>
    </r>
  </si>
  <si>
    <t>3.  Pelaksanaan tiga (3) kali Pemantauan pelaksanaan PdP Jawi oleh PPD &amp; JPN</t>
  </si>
  <si>
    <t>SPI</t>
  </si>
  <si>
    <t>RM 7,650.00</t>
  </si>
  <si>
    <r>
      <rPr>
        <rFont val="Arial"/>
        <b/>
        <strike/>
        <color theme="1"/>
        <sz val="11.0"/>
      </rPr>
      <t xml:space="preserve">OS21000
</t>
    </r>
    <r>
      <rPr>
        <rFont val="Arial"/>
        <b val="0"/>
        <strike/>
        <color theme="1"/>
        <sz val="11.0"/>
      </rPr>
      <t xml:space="preserve">RM 2550.00 x 3 siri = RM 7650.00 : PPD
</t>
    </r>
  </si>
  <si>
    <t>TS2 S4 I2 KPI4</t>
  </si>
  <si>
    <t>Peratus murid Tahap 1 menguasai amali solat (2026: 98.9, 2027: 99%)</t>
  </si>
  <si>
    <t xml:space="preserve">Peratus murid Tahap 1 menguasai amali solat </t>
  </si>
  <si>
    <t>TOV Negeri :
98.5%
TOV Daerah :
98.5%</t>
  </si>
  <si>
    <t>Sasaran Negeri :
98.9%
Sasaran Daerah :
98.9%</t>
  </si>
  <si>
    <t>Pemerkasaan Penguasaan Amali Solat Murid Tahap 1 melalui Pemantapan Pelaksanaan Bestari Solat</t>
  </si>
  <si>
    <t>1.  Pelaksanaan tiga (3) kali Dialog Prestasi Pencapaian Penguasaan Solat Murid Tahap 1</t>
  </si>
  <si>
    <t>RM 1200.00</t>
  </si>
  <si>
    <r>
      <rPr>
        <rFont val="Arial"/>
        <b/>
        <strike/>
        <color theme="1"/>
        <sz val="11.0"/>
      </rPr>
      <t xml:space="preserve">OS29000
</t>
    </r>
    <r>
      <rPr>
        <rFont val="Arial"/>
        <b val="0"/>
        <strike/>
        <color theme="1"/>
        <sz val="11.0"/>
      </rPr>
      <t xml:space="preserve">(20 org X RM20 : RM 400.00) x 3 kali = RM 1200
</t>
    </r>
  </si>
  <si>
    <t>2.  Pelaksanaan lima (5) kali Bengkel Pemerkasaan Panduan Pelaksanaan Bestari Solat kepada guru Pendidikan Islam</t>
  </si>
  <si>
    <t>RM 88,800.00</t>
  </si>
  <si>
    <r>
      <rPr>
        <rFont val="Arial"/>
        <b/>
        <strike/>
        <color theme="1"/>
        <sz val="11.0"/>
      </rPr>
      <t>OS29000</t>
    </r>
    <r>
      <rPr>
        <rFont val="Arial"/>
        <strike/>
        <color theme="1"/>
        <sz val="11.0"/>
      </rPr>
      <t xml:space="preserve">
(800 X RM20 : RM 16,0000.00) x</t>
    </r>
    <r>
      <rPr>
        <rFont val="Arial"/>
        <b/>
        <strike/>
        <color theme="1"/>
        <sz val="11.0"/>
      </rPr>
      <t xml:space="preserve"> 3 sir</t>
    </r>
    <r>
      <rPr>
        <rFont val="Arial"/>
        <strike/>
        <color theme="1"/>
        <sz val="11.0"/>
      </rPr>
      <t>i =  RM 48,000.00
OS2100
(RM13,600.00) x 3 siri = RM 40,800.00</t>
    </r>
  </si>
  <si>
    <t>3.  Pelaksanaan tiga (3) kali Pemantauan pelaksanaan KBS oleh PPD &amp; JPN</t>
  </si>
  <si>
    <t>RM 18,666.00</t>
  </si>
  <si>
    <r>
      <rPr>
        <rFont val="Arial"/>
        <b/>
        <strike/>
        <color theme="1"/>
        <sz val="11.0"/>
      </rPr>
      <t xml:space="preserve">OS21000
</t>
    </r>
    <r>
      <rPr>
        <rFont val="Arial"/>
        <b val="0"/>
        <strike/>
        <color theme="1"/>
        <sz val="11.0"/>
      </rPr>
      <t>RM 2550.00 x 3 siri = RM 7650.00 : PPD
RM 3672.00 x 3 siri = RM 11,016.00: SPI</t>
    </r>
  </si>
  <si>
    <t>TS2 S2 EI KPI8</t>
  </si>
  <si>
    <r>
      <rPr>
        <rFont val="Arial"/>
        <color theme="1"/>
        <sz val="11.0"/>
      </rPr>
      <t xml:space="preserve">Peningkatan kebolehpasaran Murid Berkeperluan Pendidikan Khas (MBPK) kepada </t>
    </r>
    <r>
      <rPr>
        <rFont val="Arial"/>
        <color theme="1"/>
        <sz val="11.0"/>
      </rPr>
      <t xml:space="preserve">78% </t>
    </r>
    <r>
      <rPr>
        <rFont val="Arial"/>
        <color theme="1"/>
        <sz val="11.0"/>
      </rPr>
      <t>menjelang tahun 2027.</t>
    </r>
  </si>
  <si>
    <r>
      <rPr>
        <rFont val="Arial"/>
        <color theme="1"/>
        <sz val="11.0"/>
      </rPr>
      <t xml:space="preserve">Peratus peningkatan kebolehpasaran Murid Berkeperluan Pendidikan Khas (MBPK) kepada </t>
    </r>
    <r>
      <rPr>
        <rFont val="Arial"/>
        <color theme="1"/>
        <sz val="11.0"/>
      </rPr>
      <t>78%(peringkat nasional)</t>
    </r>
    <r>
      <rPr>
        <rFont val="Arial"/>
        <color theme="1"/>
        <sz val="11.0"/>
      </rPr>
      <t xml:space="preserve"> menjelang tahun 2027.</t>
    </r>
  </si>
  <si>
    <r>
      <rPr>
        <rFont val="Arial"/>
        <color theme="1"/>
        <sz val="11.0"/>
      </rPr>
      <t xml:space="preserve">Peratus peningkatan kebolehpasaran Murid Berkeperluan Pendidikan Khas (MBPK) kepada </t>
    </r>
    <r>
      <rPr>
        <rFont val="Arial"/>
        <color theme="1"/>
        <sz val="11.0"/>
      </rPr>
      <t>78%(peringkat nasional)</t>
    </r>
    <r>
      <rPr>
        <rFont val="Arial"/>
        <color theme="1"/>
        <sz val="11.0"/>
      </rPr>
      <t xml:space="preserve"> menjelang tahun 2027.</t>
    </r>
  </si>
  <si>
    <t>TOV Negeri :
76.72%
TOV Daerah :
78.67%</t>
  </si>
  <si>
    <t>Sasaran Negeri :
77%
Sasaran Daerah :
80.00%</t>
  </si>
  <si>
    <t>Pemerkasaan Program Transisi Ke Kerjaya (PTK) dalam Rancangan Pendidikan Individu (RPI)</t>
  </si>
  <si>
    <t>1.  Pelaksanaan bengkel PTK kepada 12 Jurulatih Utama Daerah dan 88 orang Setiausaha RPI sekolah selesai dilaksanakan</t>
  </si>
  <si>
    <t>SPK</t>
  </si>
  <si>
    <t>RM 35,400.00</t>
  </si>
  <si>
    <t>OS29000 : RM 20.00 X 120 orang X 2 kali = RM 4800.00
OS21000 : RM 30,600.00</t>
  </si>
  <si>
    <t>belum selesai</t>
  </si>
  <si>
    <t>2.  Pelaksanaan dua (2) kali Bengkel Pemantapan Pengurusan Data PTK Negeri selesai dilaksanakan</t>
  </si>
  <si>
    <t>Unit HEM, SPM</t>
  </si>
  <si>
    <t>RM 5,955.00</t>
  </si>
  <si>
    <t>OS29000 : RM 20.00 X 15 orang X 2 kali  = Rm 600.00
OS21000 : RM 5,355.00</t>
  </si>
  <si>
    <t xml:space="preserve">3.  Pelaksanaan Karnival Kebolehpasaran MBPK Negeri Perak melibatkan 750 peserta selama 2 hari selesai dilaksanakan </t>
  </si>
  <si>
    <t>SSTP, SPP, SICT</t>
  </si>
  <si>
    <t>RM 93,750.00</t>
  </si>
  <si>
    <t>OS29000 : RM 20.00 X 750 orang X 2 hari = RM 30,000.00
OS21000 : RM 63,750.00</t>
  </si>
  <si>
    <t>TS2 S2 E1 KPI2</t>
  </si>
  <si>
    <r>
      <rPr>
        <rFont val="Arial"/>
        <strike/>
        <color theme="1"/>
        <sz val="11.0"/>
      </rPr>
      <t xml:space="preserve">Peningkatan kadar transisi murid Orang Asli dari menengah rendah ke menengah atas sebanyak </t>
    </r>
    <r>
      <rPr>
        <rFont val="Arial"/>
        <b/>
        <strike/>
        <color theme="1"/>
        <sz val="11.0"/>
      </rPr>
      <t>8% (</t>
    </r>
    <r>
      <rPr>
        <rFont val="Arial"/>
        <strike/>
        <color theme="1"/>
        <sz val="11.0"/>
      </rPr>
      <t>kumulatif).</t>
    </r>
  </si>
  <si>
    <t>Peningkatan kadar transisi murid Orang Asli dari menengah rendah ke menengah atas sebanyak 8% (kumulatif).</t>
  </si>
  <si>
    <t xml:space="preserve">KPI Baharu </t>
  </si>
  <si>
    <t>Sasaran Negeri :
185
Sasaran Daerah :</t>
  </si>
  <si>
    <t xml:space="preserve">1.  Pemerkasaan Program Transisi Murid Orang Asli Menengah Rendah ke Menengah Atas </t>
  </si>
  <si>
    <t>1.  Pelaksanaan Program Intervensi Murid Orang Asli bersama komuniti melibatkan 185 murid, 50 guru sebanyak empat kali selesai dilaksanakan.</t>
  </si>
  <si>
    <t>USJK
SPM
SPb</t>
  </si>
  <si>
    <t>RM 19400</t>
  </si>
  <si>
    <r>
      <rPr>
        <rFont val="Arial"/>
        <b/>
        <strike/>
        <color theme="1"/>
        <sz val="11.0"/>
      </rPr>
      <t>OS42000</t>
    </r>
    <r>
      <rPr>
        <rFont val="Arial"/>
        <strike/>
        <color theme="1"/>
        <sz val="11.0"/>
      </rPr>
      <t xml:space="preserve">
185 Murid X RM10X 4 Fasa= RM7400
50 Guru x RM20 x 4 Fasa = RM4000
</t>
    </r>
    <r>
      <rPr>
        <rFont val="Arial"/>
        <b/>
        <strike/>
        <color theme="1"/>
        <sz val="11.0"/>
      </rPr>
      <t>OS21000</t>
    </r>
    <r>
      <rPr>
        <rFont val="Arial"/>
        <strike/>
        <color theme="1"/>
        <sz val="11.0"/>
      </rPr>
      <t xml:space="preserve">
10 pegawai x RM200x 4 Fasa = RM8000</t>
    </r>
  </si>
  <si>
    <t>2.  Program Motivasi bersama Ikon Orang Asli yang berjaya sebanyak dua kali selesai dilaksanakan</t>
  </si>
  <si>
    <t>RM 9900</t>
  </si>
  <si>
    <r>
      <rPr>
        <rFont val="Arial"/>
        <b/>
        <strike/>
        <color theme="1"/>
        <sz val="11.0"/>
      </rPr>
      <t>OS42000</t>
    </r>
    <r>
      <rPr>
        <rFont val="Arial"/>
        <strike/>
        <color theme="1"/>
        <sz val="11.0"/>
      </rPr>
      <t xml:space="preserve">
185 Murid X RM10X 2 Fasa= RM3700
50 Guru x RM20 x 4 Fasa = RM2000
</t>
    </r>
    <r>
      <rPr>
        <rFont val="Arial"/>
        <b/>
        <strike/>
        <color theme="1"/>
        <sz val="11.0"/>
      </rPr>
      <t>OS21000</t>
    </r>
    <r>
      <rPr>
        <rFont val="Arial"/>
        <strike/>
        <color theme="1"/>
        <sz val="11.0"/>
      </rPr>
      <t xml:space="preserve">
10 pegawai x RM200x 4 Fasa = RM4000   
</t>
    </r>
    <r>
      <rPr>
        <rFont val="Arial"/>
        <b/>
        <strike/>
        <color theme="1"/>
        <sz val="11.0"/>
      </rPr>
      <t xml:space="preserve">OS29000 </t>
    </r>
    <r>
      <rPr>
        <rFont val="Arial"/>
        <strike/>
        <color theme="1"/>
        <sz val="11.0"/>
      </rPr>
      <t xml:space="preserve">
RM 200 X 1 = RM 200</t>
    </r>
  </si>
  <si>
    <t>2.  Pemerkasaan Program Transisi Murid Orang Asli Menengah Rendah ke Menengah Atas</t>
  </si>
  <si>
    <t>1.  Pelaksanaan Kem Jaulah Madani kehadiran kepada 80 Murid Orang Asli Ting 3 selesai</t>
  </si>
  <si>
    <t>Unit Pengurusan Sahsiah Murid</t>
  </si>
  <si>
    <t>SPS, SPI,PPD</t>
  </si>
  <si>
    <t>RM25,600</t>
  </si>
  <si>
    <r>
      <rPr>
        <rFont val="Arial"/>
        <b/>
        <strike/>
        <color theme="1"/>
        <sz val="11.0"/>
      </rPr>
      <t>OS42000</t>
    </r>
    <r>
      <rPr>
        <rFont val="Arial"/>
        <strike/>
        <color theme="1"/>
        <sz val="11.0"/>
      </rPr>
      <t xml:space="preserve"> = RM40 X 80 X 3 Hari =RM9,600
</t>
    </r>
    <r>
      <rPr>
        <rFont val="Arial"/>
        <b/>
        <strike/>
        <color theme="1"/>
        <sz val="11.0"/>
      </rPr>
      <t>OS21000</t>
    </r>
    <r>
      <rPr>
        <rFont val="Arial"/>
        <strike/>
        <color theme="1"/>
        <sz val="11.0"/>
      </rPr>
      <t xml:space="preserve"> = RM15,000</t>
    </r>
  </si>
  <si>
    <t>2.  Pelaksanaan Outreach Murid Orang Asli Daerah Hulu Perak ( 30 orang murid Orang Asli dari 3 Kampung) selesai</t>
  </si>
  <si>
    <t>RM12,800</t>
  </si>
  <si>
    <r>
      <rPr>
        <rFont val="Arial"/>
        <b/>
        <strike/>
        <color theme="1"/>
        <sz val="11.0"/>
      </rPr>
      <t>OS42000</t>
    </r>
    <r>
      <rPr>
        <rFont val="Arial"/>
        <strike/>
        <color theme="1"/>
        <sz val="11.0"/>
      </rPr>
      <t xml:space="preserve"> = RM5000
</t>
    </r>
    <r>
      <rPr>
        <rFont val="Arial"/>
        <b/>
        <strike/>
        <color theme="1"/>
        <sz val="11.0"/>
      </rPr>
      <t>OS29000</t>
    </r>
    <r>
      <rPr>
        <rFont val="Arial"/>
        <strike/>
        <color theme="1"/>
        <sz val="11.0"/>
      </rPr>
      <t xml:space="preserve"> = RM20 X 10 X 4 = RM800
</t>
    </r>
    <r>
      <rPr>
        <rFont val="Arial"/>
        <b/>
        <strike/>
        <color theme="1"/>
        <sz val="11.0"/>
      </rPr>
      <t>OS24000</t>
    </r>
    <r>
      <rPr>
        <rFont val="Arial"/>
        <strike/>
        <color theme="1"/>
        <sz val="11.0"/>
      </rPr>
      <t xml:space="preserve"> = RM5000
</t>
    </r>
    <r>
      <rPr>
        <rFont val="Arial"/>
        <b/>
        <strike/>
        <color theme="1"/>
        <sz val="11.0"/>
      </rPr>
      <t xml:space="preserve">OS21000 </t>
    </r>
    <r>
      <rPr>
        <rFont val="Arial"/>
        <strike/>
        <color theme="1"/>
        <sz val="11.0"/>
      </rPr>
      <t>= RM2000</t>
    </r>
  </si>
  <si>
    <t>SMK Pos Kemar</t>
  </si>
  <si>
    <t>3.  Satu (1) kali Program SEROJAR : Hem Hop (Seronok Belajar) Asrama Harian Murid Orang Asli melibatkan 60 orang murid Orang Asli selesai dilaksanakan</t>
  </si>
  <si>
    <t>Unit Pengurusan Asrama Harian</t>
  </si>
  <si>
    <t>Unit 3K, Pusat Kokurikulum, PPD</t>
  </si>
  <si>
    <t>RM30,000</t>
  </si>
  <si>
    <r>
      <rPr>
        <rFont val="Arial"/>
        <b/>
        <strike/>
        <color theme="1"/>
        <sz val="11.0"/>
      </rPr>
      <t>OS42000</t>
    </r>
    <r>
      <rPr>
        <rFont val="Arial"/>
        <strike/>
        <color theme="1"/>
        <sz val="11.0"/>
      </rPr>
      <t xml:space="preserve">        RM15,000.00
</t>
    </r>
    <r>
      <rPr>
        <rFont val="Arial"/>
        <b/>
        <strike/>
        <color theme="1"/>
        <sz val="11.0"/>
      </rPr>
      <t>OS29000</t>
    </r>
    <r>
      <rPr>
        <rFont val="Arial"/>
        <strike/>
        <color theme="1"/>
        <sz val="11.0"/>
      </rPr>
      <t xml:space="preserve">        RM10,000.00
</t>
    </r>
    <r>
      <rPr>
        <rFont val="Arial"/>
        <b/>
        <strike/>
        <color theme="1"/>
        <sz val="11.0"/>
      </rPr>
      <t>OS21000</t>
    </r>
    <r>
      <rPr>
        <rFont val="Arial"/>
        <strike/>
        <color theme="1"/>
        <sz val="11.0"/>
      </rPr>
      <t xml:space="preserve">        RM  5,000.00</t>
    </r>
  </si>
  <si>
    <t>TS2 S2 E1</t>
  </si>
  <si>
    <t>Peluasan program Sekolah Model Khas Komprehensif K11. (Jumlah 11 sekolah K11 - 2026: 3, 2027: 4, 2028: 4)</t>
  </si>
  <si>
    <t>Peluasan program Sekolah Model Khas Komprehensif K11. (Jumlah 11 sekolah K11 - 2026: 1, 2027: 1)</t>
  </si>
  <si>
    <t>Sasaran Negeri :
1
Sasaran Daerah :</t>
  </si>
  <si>
    <t>Pemerkasaan Program Komprehensif K11 secara berkala</t>
  </si>
  <si>
    <t>1.  Program Kunjung Bantu dan Sesi Libat Urus (SLU) bersama-sama komuniti sebanyak dua kali selesai dilaksanakan.
3 Buah Sekolah :
- SK Jernang (PPD Batang Padang)
- SMK RPS Kemar (PPD Hulu Perak)
- SMK RPS Banun (PPD Hulu Perak)</t>
  </si>
  <si>
    <t xml:space="preserve">
SPM
SPPPPD</t>
  </si>
  <si>
    <t>RM275,500.00</t>
  </si>
  <si>
    <r>
      <rPr>
        <rFont val="Arial"/>
        <b/>
        <strike/>
        <color theme="1"/>
        <sz val="11.0"/>
      </rPr>
      <t>OS29000</t>
    </r>
    <r>
      <rPr>
        <rFont val="Arial"/>
        <strike/>
        <color theme="1"/>
        <sz val="11.0"/>
      </rPr>
      <t xml:space="preserve">
50 Guru X RM20 x 2 = RM2000
</t>
    </r>
    <r>
      <rPr>
        <rFont val="Arial"/>
        <b/>
        <strike/>
        <color theme="1"/>
        <sz val="11.0"/>
      </rPr>
      <t>OS42000</t>
    </r>
    <r>
      <rPr>
        <rFont val="Arial"/>
        <strike/>
        <color theme="1"/>
        <sz val="11.0"/>
      </rPr>
      <t xml:space="preserve">
100 murid x RM20 x 2 = RM4000
</t>
    </r>
    <r>
      <rPr>
        <rFont val="Arial"/>
        <b/>
        <strike/>
        <color theme="1"/>
        <sz val="11.0"/>
      </rPr>
      <t>OS21000</t>
    </r>
    <r>
      <rPr>
        <rFont val="Arial"/>
        <strike/>
        <color theme="1"/>
        <sz val="11.0"/>
      </rPr>
      <t xml:space="preserve">
15 pegawai x RM200 x 2= RM6000</t>
    </r>
  </si>
  <si>
    <t xml:space="preserve">2.  Penyediaan pelan dan perolehan sebanyak  tiga (3) unit  kabin di SK Jernang selesai dilaksanakan. 
</t>
  </si>
  <si>
    <r>
      <rPr>
        <rFont val="Arial"/>
        <b/>
        <strike/>
        <color theme="1"/>
        <sz val="11.0"/>
      </rPr>
      <t>OS24000</t>
    </r>
    <r>
      <rPr>
        <rFont val="Arial"/>
        <strike/>
        <color theme="1"/>
        <sz val="11.0"/>
      </rPr>
      <t xml:space="preserve">
250 murid x RM24 = RM6000
</t>
    </r>
    <r>
      <rPr>
        <rFont val="Arial"/>
        <b/>
        <strike/>
        <color theme="1"/>
        <sz val="11.0"/>
      </rPr>
      <t>OS42000</t>
    </r>
    <r>
      <rPr>
        <rFont val="Arial"/>
        <strike/>
        <color theme="1"/>
        <sz val="11.0"/>
      </rPr>
      <t xml:space="preserve">
250 murid x RM30 = RM7500
</t>
    </r>
    <r>
      <rPr>
        <rFont val="Arial"/>
        <b/>
        <strike/>
        <color theme="1"/>
        <sz val="11.0"/>
      </rPr>
      <t>OS29000</t>
    </r>
    <r>
      <rPr>
        <rFont val="Arial"/>
        <strike/>
        <color theme="1"/>
        <sz val="11.0"/>
      </rPr>
      <t xml:space="preserve">
50 pegawai x RM40= RM 2000
</t>
    </r>
    <r>
      <rPr>
        <rFont val="Arial"/>
        <b/>
        <strike/>
        <color theme="1"/>
        <sz val="11.0"/>
      </rPr>
      <t xml:space="preserve">OS29000 (Kabin)
</t>
    </r>
    <r>
      <rPr>
        <rFont val="Arial"/>
        <strike/>
        <color theme="1"/>
        <sz val="11.0"/>
      </rPr>
      <t xml:space="preserve">RM60,000 x 4 unit = RM240,000.00
</t>
    </r>
    <r>
      <rPr>
        <rFont val="Arial"/>
        <b/>
        <strike/>
        <color theme="1"/>
        <sz val="11.0"/>
      </rPr>
      <t xml:space="preserve">
OS21000</t>
    </r>
    <r>
      <rPr>
        <rFont val="Arial"/>
        <strike/>
        <color theme="1"/>
        <sz val="11.0"/>
      </rPr>
      <t xml:space="preserve">
40 pegawai x RM200 = RM 8 000</t>
    </r>
  </si>
  <si>
    <t>TS2 S2 E1 KPI9</t>
  </si>
  <si>
    <t>Peratus kemasukan murid Tahun 5 memenuhi tempat ke Program Pendidikan Pintar Cerdas. (2026: 100%, 2027: 100%)</t>
  </si>
  <si>
    <t>Sasaran Negeri
100%
Sasaran Daerah :</t>
  </si>
  <si>
    <t>Pemerkasaan Program Pendidikan Pintar Cerdas negeri Perak</t>
  </si>
  <si>
    <r>
      <rPr>
        <rFont val="Arial"/>
        <strike/>
        <color theme="1"/>
        <sz val="11.0"/>
      </rPr>
      <t xml:space="preserve">1.  </t>
    </r>
    <r>
      <rPr>
        <rFont val="Arial"/>
        <strike/>
        <color theme="1"/>
        <sz val="11.0"/>
      </rPr>
      <t xml:space="preserve">Promosi Program Pendidikan Pintar Cerdas melibatkan Guru Bimbingan dan Kaunseling dari 300 buah sekolah rendah negeri Perak secara dalam talian selesai dilaksanakan.
</t>
    </r>
    <r>
      <rPr>
        <rFont val="Arial"/>
        <strike/>
        <color theme="1"/>
        <sz val="11.0"/>
      </rPr>
      <t xml:space="preserve">2.  </t>
    </r>
    <r>
      <rPr>
        <rFont val="Arial"/>
        <strike/>
        <color theme="1"/>
        <sz val="11.0"/>
      </rPr>
      <t>Promosi Program Pendidikan Pintar Cerdas melalui saluran media sosial rasmi JPN Perak dan Tik Tok SPS selesai dilaksanakan.</t>
    </r>
  </si>
  <si>
    <t>Data murid IQ 130 dan lebih diperolehi daripada Unit HEM, SPM atau Guru Bimbingan dan Kaunseling melalui Ujian Instrumen Aptitud Am Tahun 4 (AAT4)</t>
  </si>
  <si>
    <t xml:space="preserve">Peratus transisi murid miskin tegar dari peringkat rendah ke peringkat menengah. </t>
  </si>
  <si>
    <t>Peratus transisi murid miskin tegar dari peringkat rendah ke peringkat menengah.</t>
  </si>
  <si>
    <t>Pemerkasaan Intervensi Awal dan Sokongan Bersepadu bagi Peralihan Murid Sekolah Rendah ke Sekolah Menengah</t>
  </si>
  <si>
    <t>Khidmat bantu sekolah dalam menyelesaikan masalah keciciran kehadiran</t>
  </si>
  <si>
    <t>Pemerkasaan peranan PK HEM dalam mengenalpasti murid yang memerlukan bantuan dan sumbangan</t>
  </si>
  <si>
    <t>Peratus murid SPM mencapai tahap kepujian dalam mata pelajaran Matematik</t>
  </si>
  <si>
    <t>Transformasi Pedagogi &amp; Kualiti PdP Matematik Menengah
(Pelaksanaan program peningkatan kualiti pedagogi guru Matematik sekolah menengah melalui bimbingan profesional, perkongsian amalan terbaik dan pengukuhan penguasaan konsep Matematik dalam kalangan murid.)</t>
  </si>
  <si>
    <t>Bengkel Bitara Pedagogi Matematik Menengah: Integrasi Kecerdasan Pelbagai &amp; Penyelesaian Masalah</t>
  </si>
  <si>
    <t>5.5.2026</t>
  </si>
  <si>
    <t>6.5.2026</t>
  </si>
  <si>
    <t>OS29000 : 
 70 orang peserta X RM 20 X 2 hari = RM 2,800.00
 24 orang JU &amp; pegawai X RM 20 X 2 hari = RM 960.00
 0S21000 : 94 X RM 50 X 2 = RM 9400</t>
  </si>
  <si>
    <t>Kolaborasi PLC Matematik Menengah: Perkongsian Amalan Baik PdP</t>
  </si>
  <si>
    <t>19.05.2026</t>
  </si>
  <si>
    <t>20.05.2026</t>
  </si>
  <si>
    <t>Program Pemerkasaan Guru: Strategi Intervensi Akademik &amp; Lonjakan SPM</t>
  </si>
  <si>
    <t>09.06.2026</t>
  </si>
  <si>
    <t>10.06.2026</t>
  </si>
  <si>
    <t>Verifikasi &amp; Pemantauan Berfokus Program Matematik (Berasaskan Data)</t>
  </si>
  <si>
    <t>15.06.2026</t>
  </si>
  <si>
    <t>02.07.2026</t>
  </si>
  <si>
    <t>OS21000 : 
 RM 2000.00 
 tuntutan perjalanan pegawai)</t>
  </si>
  <si>
    <t>Sinergi Kolaborasi Strategik: Pembangunan Bank Item Matematik Menengah
(Pelaksanaan kolaborasi bersama guru pakar, guru cemerlang dan jurulatih utama Matematik bagi membangunkan bank item Matematik Tingkatan 1 hingga Tingkatan 3 yang selaras dengan DSKP dan standard pentaksiran.)</t>
  </si>
  <si>
    <t>Penyelarasan Jawatankuasa Pembinaan Item Matematik Menengah Peringkat Daerah</t>
  </si>
  <si>
    <t>23.06.2026</t>
  </si>
  <si>
    <t>24.06.2026</t>
  </si>
  <si>
    <t>Bengkel Pembinaan Item Matematik Menengah Rendah (KBAT &amp; Standard Pentaksiran)</t>
  </si>
  <si>
    <t>07.07.2026</t>
  </si>
  <si>
    <t>08.07.2026</t>
  </si>
  <si>
    <t>Bengkel Pemurnian &amp; Validasi Item Matematik: Kualiti Konstruk dan Aras Kesukaran</t>
  </si>
  <si>
    <t>21.07.2026</t>
  </si>
  <si>
    <t>22.07.2026</t>
  </si>
  <si>
    <t>Pembangunan Bank Item Matematik Menengah: Sokongan Pentaksiran Bilik Darjah (PBD)</t>
  </si>
  <si>
    <t>04.08.2026</t>
  </si>
  <si>
    <t>05.08.2026</t>
  </si>
  <si>
    <t>Digitalisasi &amp; Penyebaran Bank Item Matematik (Platform Digital)</t>
  </si>
  <si>
    <t>06.08.2026</t>
  </si>
  <si>
    <t>27.08.2026</t>
  </si>
  <si>
    <t>Transformasi Pedagogi Matematik Rendah: Pendekatan Concrete-Pictorial-Abstract (CPA)
(Pelaksanaan program peningkatan kompetensi guru Matematik sekolah rendah dalam mengaplikasikan pendekatan Concrete, Pictorial dan Abstract bagi meningkatkan kefahaman konsep Matematik dalam kalangan murid.)</t>
  </si>
  <si>
    <t>Bengkel Bitara Pedagogi Matematik Rendah: Pemantapan Pendekatan CPA</t>
  </si>
  <si>
    <t>12.05.2026</t>
  </si>
  <si>
    <t>13.05.2026</t>
  </si>
  <si>
    <t>OS29000 : 
 220 orang peserta X RM 20 X 2 hari = RM 8800.00
 14 orang JU &amp; pegawai X RM 20 X 2 hari = RM 560.00
 0S21000 : 234 X RM 50 X 2 = RM 23400</t>
  </si>
  <si>
    <t>Kolaborasi PLC Matematik Rendah: Perkongsian Amalan Terbaik PdP</t>
  </si>
  <si>
    <t>16.06.2026</t>
  </si>
  <si>
    <t>Intervensi Pintar Numerasi: Pengukuhan Konsep Asas Matematik Rendah</t>
  </si>
  <si>
    <t>29.06.2026</t>
  </si>
  <si>
    <t>30.06.2026</t>
  </si>
  <si>
    <t>01.07.2026</t>
  </si>
  <si>
    <t>30.07.2026</t>
  </si>
  <si>
    <t>OS21000 : 
 RM 6000.00 
 tuntutan perjalanan pegawai)</t>
  </si>
  <si>
    <t>Sinergi Kolaborasi Strategik: Pembangunan Bank Item Matematik Rendah
(Pelaksanaan kolaborasi bersama guru pakar, guru cemerlang dan jurulatih utama Matematik bagi membangunkan bank item Matematik Tahun 4 hingga Tahun 6 yang selaras dengan DSKP dan keperluan pentaksiran bilik darjah.)</t>
  </si>
  <si>
    <t>Penyelarasan Jawatankuasa Pembinaan Item Matematik Rendah Peringkat Daerah</t>
  </si>
  <si>
    <t>14.07.2026</t>
  </si>
  <si>
    <t>15.07.2026</t>
  </si>
  <si>
    <t>Bengkel Pembinaan Item Matematik Tahap II Sekolah Rendah (KBAT &amp; Standard Pentaksiran)</t>
  </si>
  <si>
    <t>28.07.2026</t>
  </si>
  <si>
    <t>29.07.2026</t>
  </si>
  <si>
    <t>11.08.2026</t>
  </si>
  <si>
    <t>12.08.2026</t>
  </si>
  <si>
    <t>Pembangunan Bank Item Matematik Rendah: Sokongan Pentaksiran Bilik Darjah (PBD)</t>
  </si>
  <si>
    <t>26.08.2026</t>
  </si>
  <si>
    <t>Digitalisasi &amp; Penyebaran Bank Item Matematik  (Platform Digital)</t>
  </si>
  <si>
    <t>07.09.2029</t>
  </si>
  <si>
    <t>30.09.2026</t>
  </si>
  <si>
    <t xml:space="preserve">Peratus murid sekolah rendah dan menengah mencapai tahap profisiensi tinggi dalam pentaksiran profisiensi literasi Bacaan yang setara dengan standard antarabangsa. </t>
  </si>
  <si>
    <t>Bacaan tahun 4 : 32.40%
Bacaan tahun 5 : 0.00%
Bacaan tahun 6 : 0.00%</t>
  </si>
  <si>
    <t>Pemerkasaan Sokongan Ketua Panitia BM Sekolah Rendah untuk peningkatan kefahaman Domain Literasi Bacaan  dalam Pentaksiran Kompetensi Literasi (PKL)</t>
  </si>
  <si>
    <t>Bengkel Pemantapan Strategi Bacaan Kritis dalam PdP Bahasa Melayu Sekolah Rendah melibatkan Sekolah Lensa Lestari (SeLL)</t>
  </si>
  <si>
    <t>Bengkel Pembinaan Item PKL dan Item Pisa bagi domain Literasi Bacaan melibatkan Sekolah Lensa Lestari (SeLL)</t>
  </si>
  <si>
    <t>Bengkel Perkongsian Amalan Terbaik PdP Berimpak Tinggi dengan pembudayaan KBAT dan pengaplikasian Teknik Bacaan Kritis</t>
  </si>
  <si>
    <t>Bacaan tingkatan 1 : 38.70%
Bacaan tingkatan 2 : 41.50%
Bacaan tingkatan 3 : 36.00%
Bacaan tingkatan 4 : 35.05%</t>
  </si>
  <si>
    <t>Pemerkasaan Sokongan Ketua Panitia BM Sekolah Menengah untuk peningkatan kefahaman Domain Literasi Bacaan dalam Pentaksiran Kompetensi Literasi  (PKL)</t>
  </si>
  <si>
    <t>Bengkel Pemantapan Strategi Bacaan Kritis dalam PdP Bahasa Melayu Sekolah Menengah melibatkan Sekolah Lensa Lestari (SeLL)</t>
  </si>
  <si>
    <t>Bengkel Pembinaan Item PKL dan Item Pisa bagi domain Literasi Bacaan fokus melibatkan Sekolah Lensa Lestari (SeLL)</t>
  </si>
  <si>
    <t>Peratus murid sekolah rendah dan menengah mencapai tahap profisiensi tinggi dalam pentaksiran profisiensi literasi Matematik dan Sains yang setara dengan standard antarabangsa.</t>
  </si>
  <si>
    <t xml:space="preserve">Peratus murid sekolah rendah dan menengah mencapai tahap profisiensi tinggi dalam pentaksiran profisiensi literasi Matematik dan Sains yang setara dengan standard antarabangsa.
</t>
  </si>
  <si>
    <t xml:space="preserve">Matematik tahun 4:35.20%
Matematik tahun 5:34.60%
Matematik tahun 6:56.60%
Sains tahun 4:0.00%
Sains tahun 5:100.00%
Sains tahun 6:0.00%
Matematik tingkatan 1:8.00%
Matematik tingkatan 2:7.20%
Matematik tingkatan 3:26.4%
Matematik tingkatan 4:29.5%
Sains tingkatan 1:22.10%
Sains tingkatan 2:52.80%
Sains tingkatan 3:37.40%
Sains tingkatan 4:0.00%
</t>
  </si>
  <si>
    <t xml:space="preserve">Matematik tahun 4:40.00%
Matematik tahun 5:39.00%
Matematik tahun 6:60.00%
Sains tahun 4:12.00%
Sains tahun 5:100.00%
Sains tahun 6:28.00%
Matematik tingkatan 1:13.00%
Matematik tingkatan 2:10.00%
Matematik tingkatan 3:30.00%
Matematik tingkatan 4:32.00%
Sains tingkatan 1:25.00%
Sains tingkatan 2:55.00%
Sains tingkatan 3:40.00%
Sains tingkatan 4:10.00%
</t>
  </si>
  <si>
    <t>Pembudayaan Item Pentaksiran Setara Standard Antarabangsa dalam Literasi Matematik Sekolah Rendah</t>
  </si>
  <si>
    <t>Bengkel Kerja Pembinaan Item PKL Guru Matematik SR Daerah</t>
  </si>
  <si>
    <t>OS29000 : 
 110 orang peserta X RM 20 X 2 hari = RM 4400.00
 10 orang JU &amp; pegawai X RM 20 X 2 hari = RM 400.00
 0S21000 : 120 X RM 50 X 2 hari = RM 12000</t>
  </si>
  <si>
    <t>Pembudayaan Item Pentaksiran Setara Standard Antarabangsa dalam Literasi Sains Sekolah Rendah</t>
  </si>
  <si>
    <t>Bengkel Kerja Pembinaan Item PKL Guru Sains SR Daerah</t>
  </si>
  <si>
    <t>Pengukuhan Pembudayaan Item Pentaksiran Setara Standard Antarabangsa dalam Literasi Matematik Sekolah Menengah</t>
  </si>
  <si>
    <t>Bengkel Kerja Pembinaan Item PKL Guru Matematik SM Daerah</t>
  </si>
  <si>
    <t>OS29000 : 
 35 orang peserta X RM 20 X 2 hari = RM 1400.00
 10 orang JU &amp; pegawai X RM 20 X 2 hari = RM 400.00
 0S21000 : 45 X RM 50 X 2 = RM 4500</t>
  </si>
  <si>
    <t>Pengukuhan Pembudayaan Item Pentaksiran Setara Standard Antarabangsa dalam Literasi Sains Sekolah Menengah</t>
  </si>
  <si>
    <t>Bengkel Kerja Pembinaan Item PKL Guru Sains SM Daerah</t>
  </si>
  <si>
    <t>Peratus murid sekolah rendah dan menengah mencapai tahap tinggi dalam pentaksiran kompetensi dan literasi Kewangan yang setara dengan standard antarabangsa.</t>
  </si>
  <si>
    <t xml:space="preserve">Peratus murid sekolah rendah dan menengah mencapai tahap tinggi dalam pentaksiran kompetensi dan literasi Kewangan yang setara dengan standard antarabangsa.
</t>
  </si>
  <si>
    <t>Kewangan tahun 4:22.10%
Kewangan tahun 5:29.50%
Kewangan tahun 6:34.50%
Kewangan tingkatan 1:50.50%
Kewangan tingkatan 2:31.70%
Kewangan tingkatan 3:33.60%
Kewangan tingkatan 4:47.90%</t>
  </si>
  <si>
    <t>Kewangan tahun 4:25.00%
Kewangan tahun 5:35.00%
Kewangan tahun 6:38.00%
Kewangan tingkatan 1:52.00%
Kewangan tingkatan 2:33.00%
Kewangan tingkatan 3:35.00%
Kewangan tingkatan 4:50.00%</t>
  </si>
  <si>
    <t>Pengukuhan Pembudayaan Item Pentaksiran Setara Standard Antarabangsa dalam Literasi Kewangan Sekolah Rendah</t>
  </si>
  <si>
    <t>Bengkel Kerja Pembinaan Item PKL Kewangan Guru Matematik SR Daerah</t>
  </si>
  <si>
    <t>Pengukuhan Pembudayaan Item Pentaksiran Setara Standard Antarabangsa dalam Literasi Kewangan Sekolah Menengah</t>
  </si>
  <si>
    <t>Bengkel Kerja Pembinaan Item PKL Kewangan Guru Matematik SM Daerah</t>
  </si>
  <si>
    <t>Peratus Mentor yang menerima latihan pembudayaan KBAT dalam PdP setara dengan standard antarabangsa</t>
  </si>
  <si>
    <t>100 %</t>
  </si>
  <si>
    <t>Pembudayaan item setara pentaksiran antarabangsa dalam literasi kewangan menengah</t>
  </si>
  <si>
    <t xml:space="preserve">Peratus murid mencapai sekurang-kurangnya gred C dalam mata pelajaran Sejarah dalam peperiksaan awam. </t>
  </si>
  <si>
    <t>Meningkatkan peratus murid yang mencapai sekurang-kurangnya gred C dalam mata pelajaran Sejarah SPM 2026 di daerah LMS melalui pelaksanaan intervensi berfokus, selaras dengan KPI Negeri.</t>
  </si>
  <si>
    <t xml:space="preserve">Program Pemerkasaan Guru Sejarah </t>
  </si>
  <si>
    <t>Mesyuarat Penyelarasan Program di peringkat daerah</t>
  </si>
  <si>
    <t>Mac 2026</t>
  </si>
  <si>
    <t xml:space="preserve">Bengkel Penandaan Kertas 2 dan 'Peer Teaching' </t>
  </si>
  <si>
    <t xml:space="preserve">Mengenal pasti intervensi/tindak susul sesuai dengan isu </t>
  </si>
  <si>
    <t>Memperkasa Teknik Penandaan dan Peer Teaching melalui peranan KP kepada GMP berdasarkan dapatan PPSA Tingkatan 5 2026.</t>
  </si>
  <si>
    <t xml:space="preserve">
Peratus murid Tahun 2 menguasai literasi dan numerasi</t>
  </si>
  <si>
    <t xml:space="preserve">Meningkatkan peratus murid Tahun 2 yang menguasai literasi dan numerasi di daerah LMS melalui pelaksanaan intervensi berfokus
</t>
  </si>
  <si>
    <t xml:space="preserve">90.65 %
</t>
  </si>
  <si>
    <t>Pemerkasaan Sistem Sokongan Sekolah Terhadap Peningkatan Penguasaan Literasi Dan Numerasi Murid Tahun 2</t>
  </si>
  <si>
    <t xml:space="preserve">Pemerkasaan pengoperasian Program Pemulihan Khas </t>
  </si>
  <si>
    <t>Mac</t>
  </si>
  <si>
    <t>Mei</t>
  </si>
  <si>
    <t>10 minggu</t>
  </si>
  <si>
    <t>Pembudayaan SK@S std 4 dalam pdp pemulihan khas</t>
  </si>
  <si>
    <t xml:space="preserve">Jun </t>
  </si>
  <si>
    <t>Ogos</t>
  </si>
  <si>
    <t>Pembudayaan digital dalam PdP</t>
  </si>
  <si>
    <t>1 Julai 2026</t>
  </si>
  <si>
    <t>3 hari</t>
  </si>
  <si>
    <t xml:space="preserve"> 
OS29000 : 
RM1200.00 (120 x RM10)</t>
  </si>
  <si>
    <t xml:space="preserve">Pembudayaan Amalan baik </t>
  </si>
  <si>
    <t>14 Julai 2026</t>
  </si>
  <si>
    <t>16 julai 2026</t>
  </si>
  <si>
    <t xml:space="preserve"> 
OS29000 : 
RM1500.00 (150 x RM10)</t>
  </si>
  <si>
    <t xml:space="preserve">Peratus murid SPM mencapai tahap kepujian dalam mata pelajaran Bahasa Melayu
</t>
  </si>
  <si>
    <t>Pemerkasaan Sistem Sokongan Sekolah Terhadap Peningkatan Pencapaian Kualiti Bahasa Melayu</t>
  </si>
  <si>
    <t>Peratus murid SPM mencapai tahap kepujian dalam mata pelajaran Bahasa Inggeris</t>
  </si>
  <si>
    <t>Memperkasa Kemahiran guru dalam membangunkan intervensi bersesuaian dan bertepatan untuk menyokong proses pembelajaran Bahasa Inggeris murid</t>
  </si>
  <si>
    <t>Libat Urus Sekolah Fokus dan BImbingan Intervensi 100 Hari (Murid gagal yang ramai)</t>
  </si>
  <si>
    <t>1.4.2026</t>
  </si>
  <si>
    <t>19.8.2026</t>
  </si>
  <si>
    <t>20 minggu</t>
  </si>
  <si>
    <t>OS21000 : RM 5000</t>
  </si>
  <si>
    <t>Bengkel Pemarkahan dan Penandaan Kertas 2 Bahasa Inggeris bagi guru menengah atas bukan pemeriksa,</t>
  </si>
  <si>
    <t>20.5.2026</t>
  </si>
  <si>
    <t>OS29000 : RM 1400</t>
  </si>
  <si>
    <t>Pengukuhan Professional Learning Community kepada guru Bahasa Inggeris (Murid Gagal yang Ramai)</t>
  </si>
  <si>
    <t>12.5.2026</t>
  </si>
  <si>
    <t>19.7.2026</t>
  </si>
  <si>
    <t>OS29000 : 
 50 orang peserta X RM 20 X 1 hari = RM 1000.00
 14 orang pegawai X RM 20 X 1 hari = RM 280.00
 0S21000 : 64 X RM 100 X 1 = RM 6400</t>
  </si>
  <si>
    <t>Peratus enrolmen murid 15+ dalam aliran TVET di peringkat menengah atas (meningkat 2% setiap tahun)</t>
  </si>
  <si>
    <t>53.15% (1917/3607)(Ting 4)</t>
  </si>
  <si>
    <t>55.15% (+2.0%)(Tingkatan 4)</t>
  </si>
  <si>
    <t>Promosi bidang TVET di kalangan murid, ibu bapa, pihak sekolah dan masyarakat</t>
  </si>
  <si>
    <t>Program 1 Daerah 1 TVET: Pemerkasaan Mata Pelajaran TVET PPDLMS</t>
  </si>
  <si>
    <t>7.5.2026</t>
  </si>
  <si>
    <t>OS29000 : 
 60 orang peserta X RM 20 X 1 hari = RM 1,200.00
 5 pegawai X RM 20 X 1 hari = RM 100.00
 0S21000 : 75 X RM 50 X 1 = RM 3750</t>
  </si>
  <si>
    <t>Jelajah AIM TVET (kerjasama dengan PASAK)</t>
  </si>
  <si>
    <t>IKUT TARIKH JPN PERAK</t>
  </si>
  <si>
    <t xml:space="preserve"> 0S21000 : 75 X RM 50 X 2 hari = RM 7500</t>
  </si>
  <si>
    <t>Libat Urus Bersama Pengetua dan PK1 Sekolah Menengah</t>
  </si>
  <si>
    <t>Secara atas talian</t>
  </si>
  <si>
    <t>Program Sokongan &amp; Intervensi Sekolah Berpotensi TVET PPDLMS</t>
  </si>
  <si>
    <t>18.6.2026</t>
  </si>
  <si>
    <t>Ujian Kecenderungan minat</t>
  </si>
  <si>
    <t>Pelaksanaan  Pentaksiran Psikometrik (PPSi) bagi IMK dan IKP tingkatan 3 di peringkat sekolah.</t>
  </si>
  <si>
    <t>Bengkel pemilihan aliran berdasarkan dapatan IMK dan IKP di peringkat sekolah.</t>
  </si>
  <si>
    <t>Pelaksanaan Program Memperkasakan Pendidikan Kerjaya STEM bagi murid Tingkatan 1 hingga Tingkatan 3 (1 kali) peringkat sekolah. Contoh minggu STEM.</t>
  </si>
  <si>
    <t>Mewibawakan Guru TVET</t>
  </si>
  <si>
    <t>Program Pemerkasaan Kompetensi Guru TVET PPDLMS: Upskilling, Reskilling &amp; Newskilling</t>
  </si>
  <si>
    <t>25.6.2026</t>
  </si>
  <si>
    <t>Program Bimbingan Kecemerlangan Guru TVET PPDLMS (Calon Guru Cemerlang)</t>
  </si>
  <si>
    <t>9.7.2026</t>
  </si>
  <si>
    <t>Program Peningkatan Profesionalisme Guru TVET PPDLMS</t>
  </si>
  <si>
    <t>23.7.2026</t>
  </si>
  <si>
    <t>Peratus pelibatan murid dalam aktiviti pembentukan jati diri dan kerohanian</t>
  </si>
  <si>
    <t>100% - sebanyak 5 SABK terlibat melibatkan semua pelajar di sekolah tersebut.</t>
  </si>
  <si>
    <t>Aktiviti sekolah</t>
  </si>
  <si>
    <t>Penglibatan murid dalam program "sahsiah unggul murid" (SUMUR) dan murid mengendalikan program seperti khalifah yasin, tazkirah ringkas</t>
  </si>
  <si>
    <t>12.1..2026</t>
  </si>
  <si>
    <t>4.12.2026</t>
  </si>
  <si>
    <t>Sepanjang Tahun</t>
  </si>
  <si>
    <r>
      <rPr>
        <rFont val="Arial"/>
        <b/>
        <color theme="1"/>
        <sz val="10.0"/>
      </rPr>
      <t xml:space="preserve">Sasaran KPI
</t>
    </r>
    <r>
      <rPr>
        <rFont val="Arial"/>
        <b val="0"/>
        <color theme="1"/>
        <sz val="10.0"/>
      </rPr>
      <t>(2026)</t>
    </r>
  </si>
  <si>
    <r>
      <rPr>
        <rFont val="Arial"/>
        <b/>
        <color theme="1"/>
        <sz val="10.0"/>
      </rPr>
      <t xml:space="preserve">Tarikh Aktiviti Mula
</t>
    </r>
    <r>
      <rPr>
        <rFont val="Arial"/>
        <b val="0"/>
        <color theme="1"/>
        <sz val="10.0"/>
      </rPr>
      <t>(double click to enter date)</t>
    </r>
  </si>
  <si>
    <r>
      <rPr>
        <rFont val="Arial"/>
        <b/>
        <color theme="1"/>
        <sz val="10.0"/>
      </rPr>
      <t xml:space="preserve">Tarikh Aktiviti Tamat
</t>
    </r>
    <r>
      <rPr>
        <rFont val="Arial"/>
        <b val="0"/>
        <color theme="1"/>
        <sz val="10.0"/>
      </rPr>
      <t>(double click to enter date)</t>
    </r>
  </si>
  <si>
    <r>
      <rPr>
        <rFont val="Arial"/>
        <b/>
        <color theme="1"/>
        <sz val="10.0"/>
      </rPr>
      <t xml:space="preserve">Tempoh
</t>
    </r>
    <r>
      <rPr>
        <rFont val="Arial"/>
        <b val="0"/>
        <color theme="1"/>
        <sz val="10.0"/>
      </rPr>
      <t>(minggu)</t>
    </r>
  </si>
  <si>
    <r>
      <rPr>
        <rFont val="Arial"/>
        <b/>
        <color theme="1"/>
        <sz val="10.0"/>
      </rPr>
      <t xml:space="preserve">Justifikasi 
</t>
    </r>
    <r>
      <rPr>
        <rFont val="Arial"/>
        <color theme="1"/>
        <sz val="10.0"/>
      </rPr>
      <t>(jika tidak dilaksana/ pinda/ gugur)</t>
    </r>
  </si>
  <si>
    <t>TS3 S1 I1 KPI2</t>
  </si>
  <si>
    <t>Pelantikan seramai 2,940 pembantu guru untuk mengurangkan beban tugas guru bagi membolehkan mereka fokus kepada PdP. (2026: 1,470 orang, 2027: 1,470 orang)</t>
  </si>
  <si>
    <t>Bilangan Pembantu Guru yang dilantik
(MAN, KIU, LMS) - 12</t>
  </si>
  <si>
    <t xml:space="preserve">Bilangan Pembantu Guru yang dilantik
LMS - 12 </t>
  </si>
  <si>
    <t>Melaksanakan proses pengambilan dan penempatan 12 orang MyStep Pembantu Guru di 6 buat sekolah yang terlibat</t>
  </si>
  <si>
    <t>Diuruskan oleh PPD</t>
  </si>
  <si>
    <t>TS3 S1 I2 KPI1</t>
  </si>
  <si>
    <t>Bilangan bilik guru dan ruang kerja guru dinaik taraf dari aspek peralatan, perabot dan ruang kerja yang kondusif.</t>
  </si>
  <si>
    <t>KPI BAHARU</t>
  </si>
  <si>
    <t>Sasaran Negeri :
24
Sasaran Daerah :</t>
  </si>
  <si>
    <t>Pemerkasaan Program Naik Taraf Bersepadu Bilik Guru Negeri Perak melibatkan naik taraf dan penyelenggaraan infrastruktur serta penggantian aset secara berfokus bagi mewujudkan ruang kerja guru yang kondusif.</t>
  </si>
  <si>
    <t>1.  Penyediaan pelan dan semakan tahap keperluan naik taraf  bilik guru di 24 sekolah yang dikenal pasti selesai.</t>
  </si>
  <si>
    <t>SIP/PPD</t>
  </si>
  <si>
    <t>S4PD</t>
  </si>
  <si>
    <t>Penyediaan BQ seragam dan SLU bersama PPD berkaitan</t>
  </si>
  <si>
    <t>2.  Pelaksanaan kerja penyelenggaraan bilik guru di 24 buah sekolah telah selesai dilaksanakan.</t>
  </si>
  <si>
    <t>SIP PPD</t>
  </si>
  <si>
    <t>Kerja senggara bilik guru melibatkan pembaikan tingkap, pintu, bumbung, ruangan termasuk kerja mekanikal dan elektrik</t>
  </si>
  <si>
    <t xml:space="preserve">Kerja penyelenggaraan di bilik guru sekolah menengah yang berkepadatan tinggi dianggarkan sebanyak RM400,000 per sekolah. </t>
  </si>
  <si>
    <t>3.  Pelaksanaan penggantian perabot bilik guru baru di 24 sekolah yang dikenal pasti selesai.</t>
  </si>
  <si>
    <t xml:space="preserve">RM200000.00
Cadangan perabot ringkas untuk kegunaan bilik guru
-Kerusi Serbaguna Dgn Tangan
-Kabinet Rendah Berpintu
-Kabinet Rendah Bercermin
-Rak Fail
-Rak Rendah Terbuka
-Padestal Mudah Alih
-Meja Perpustakaan
-Kerusi Bankuet
-Meja Jurutaip
-Kerusi Taip (Kerusi Pegawai Rendah)
-Sette Set
-Tetingkat Majalah
</t>
  </si>
  <si>
    <t xml:space="preserve"> Anggaran RM200,000.00 bagi perolehan perabot dan peralatan bagi memuatkan maksimum 100 orang guru di sebuah sekolah</t>
  </si>
  <si>
    <t>TS3 S1 I1</t>
  </si>
  <si>
    <t>Pengurangan nisbah guru bimbingan dan kaunseling (GBK) di sekolah menengah daripada 1:500 kepada 1:350, dengan melantik 500 orang GBK baharu.</t>
  </si>
  <si>
    <t>Pengurangan nisbah guru bimbingan dan kaunseling (GBK) di sekolah menengah daripada 1:500 kepada 1:350, dengan melantik 500 orang GBK baharu</t>
  </si>
  <si>
    <t>Sasaran Negeri :
SM - 100%
Sasaran Daerah :</t>
  </si>
  <si>
    <t>1.  Program Pemutihan Secara Berstruktur Bagi GAB berlatar belakangkan opsyen BnK.</t>
  </si>
  <si>
    <t>1.  Pelaksanaan 2 kali  Bengkel  Penyelarasan Pemutihan bersama 12 PPD HEM selesai</t>
  </si>
  <si>
    <t>UNIT HEM</t>
  </si>
  <si>
    <t>RM 1440.00</t>
  </si>
  <si>
    <t>OS29000
6 Pegawai JPN dan 12 PPD X RM20 X 2 hari x 2 kali = RM1440</t>
  </si>
  <si>
    <t>2.  Pemantauan dan penilaian impak</t>
  </si>
  <si>
    <t>2.  Pelaksanaan Pemantauan Sesi KI /KK dan penilaian impak perkhidmatan GBK terlibat  selesai</t>
  </si>
  <si>
    <t>RM 20,000.00</t>
  </si>
  <si>
    <r>
      <rPr>
        <rFont val="Arial"/>
        <b/>
        <strike/>
        <color theme="1"/>
        <sz val="10.0"/>
      </rPr>
      <t>OS21000</t>
    </r>
    <r>
      <rPr>
        <rFont val="Arial"/>
        <strike/>
        <color theme="1"/>
        <sz val="10.0"/>
      </rPr>
      <t xml:space="preserve">       RM20,000.00</t>
    </r>
  </si>
  <si>
    <t>Semua sekolah diperuntukkan seorang guru bimbingan dan kaunseling (GBK). (Termasuk SKM)</t>
  </si>
  <si>
    <t>Sasaran Negeri :
SM : 100%
SR : 100%
Sasaran Daerah :</t>
  </si>
  <si>
    <t xml:space="preserve">1.  Program Tukar Aliran secara berstruktur dan mengikut keperluan
</t>
  </si>
  <si>
    <t>1.  Pelaksanaan Audit menyeluruh bilangan sekolah rendah dan SKM tanpa GBK mengikut PPD secara berkala 2 kali setahun selesai</t>
  </si>
  <si>
    <t>RM6960</t>
  </si>
  <si>
    <t xml:space="preserve">OS2900
58 Pegawai JPN dan PPD X RM20 X 2 hari x 2 kali = RM4640 </t>
  </si>
  <si>
    <t>2.  Penempatan keutamaan pengisian GBK di sekolah rendah dan SKM berdasarkan saiz sekolah, isu disiplin dan lokasi pedalaman atau bandar (2 kali setahun) selesai.</t>
  </si>
  <si>
    <t xml:space="preserve">OS2900
58 Pegawai JPN dan PPD X RM20 X 2 hari x 2 kali = RM2320 </t>
  </si>
  <si>
    <t xml:space="preserve">2.  Pemerkasaan GBLD dalam Bengkel Coaching n Mentoring Perkhidmatan Bimbingan dan Kaunseling GBLD </t>
  </si>
  <si>
    <t>1.  3 kali Bengkel  Coaching n Mentoring  Perkhidmatan Bimbingan dan Kaunseling kepada 648 org GBLD telah selesai dilaksanakan</t>
  </si>
  <si>
    <t>RM116,640.00</t>
  </si>
  <si>
    <t>OS 29000:                                                   648 orang x RM 20 x 3 hari X 3 kali= RM 116,640.00</t>
  </si>
  <si>
    <t>3.  Pemantauan dan penilaian impak</t>
  </si>
  <si>
    <t>1.  Pemantauan Sesi KI /KK dan penilaian impak perkhidmatan GBK terlibat.</t>
  </si>
  <si>
    <r>
      <rPr>
        <rFont val="Arial"/>
        <b/>
        <color theme="1"/>
        <sz val="10.0"/>
      </rPr>
      <t>OS21000</t>
    </r>
    <r>
      <rPr>
        <rFont val="Arial"/>
        <color theme="1"/>
        <sz val="10.0"/>
      </rPr>
      <t xml:space="preserve">       RM20,000.00</t>
    </r>
  </si>
  <si>
    <t>TS3 S1 I1 KPI3</t>
  </si>
  <si>
    <t>Bilangan MySTEP Pembantu Warden Asrama (MyPWA) dilantik pada tahun 2026.</t>
  </si>
  <si>
    <t>Bilangan MySTEP Pembantu Warden Asrama (MyPWA) yang dilantik</t>
  </si>
  <si>
    <t>T/B</t>
  </si>
  <si>
    <t xml:space="preserve">Melaksanakan proses pengambilan dan penempatan personal MyPWA di 20 sekolah yang terlibat bagi Fasa 1
</t>
  </si>
  <si>
    <t>1. Memuat naik iklan jawatan kosong di laman sesawang MyFuture Job dan melaksanakan proses permohonan.</t>
  </si>
  <si>
    <t>SELESAI DILAKSANAKAN</t>
  </si>
  <si>
    <t>SEKOLAH TERLIBAT:
SMK DOKTOR BURHANUDDIN</t>
  </si>
  <si>
    <t>2. Menyelaras sesi temu duga bagi pemilihan MyPWA.</t>
  </si>
  <si>
    <t>3. Menyelaras proses pemilihan akhir dan menempatkan MyPWA di sekolah yang berkenaan.</t>
  </si>
  <si>
    <t>4. Melaporkan bilangan pelantikan yang telah dilaksanakan dari semasa ke semasa / sekiranya perlu.</t>
  </si>
  <si>
    <t>MySTEP Pembantu Warden Asrama (MyPWA) dilantik untuk sekolah asrama harian yang mendapat pembekalan dan pemasangan CCTV di bawah KPM mulai tahun 2025.</t>
  </si>
  <si>
    <t>Sasaran Negeri :
100 %
Sasaran Daerah :</t>
  </si>
  <si>
    <t>1.  Setiap Sekolah Asrama Harian yang mendapat pembekalan dan pemasangan CCTV di bawah KPM mulai tahun 2025 mendapat seorang Pembantu Warden.</t>
  </si>
  <si>
    <t>1.  Dua (2) kali semakan penempatan Pembantu Warden di Sekolah Asrama Harian yang mendapat pembekalan CCTV bawah KPM selesai dilaksanakan</t>
  </si>
  <si>
    <t>SSM, PPD</t>
  </si>
  <si>
    <t>tiada</t>
  </si>
  <si>
    <t>2.  Bengkel Pembangunan Profesionalisme Pembantu Warden Asrama</t>
  </si>
  <si>
    <t>2.  Satu (1) Bengkel Pembangunan Profesionalisme Pembantu Warden Asrama Peringkat Negeri Perak melibatkan Sekolah Asrama Harian yang mendapat pembekalan CCTV bawah KPM selesai dilaksanakan</t>
  </si>
  <si>
    <t>RM 9,500.00</t>
  </si>
  <si>
    <r>
      <rPr>
        <rFont val="Arial"/>
        <b/>
        <strike/>
        <color theme="1"/>
        <sz val="10.0"/>
      </rPr>
      <t>OS29000</t>
    </r>
    <r>
      <rPr>
        <rFont val="Arial"/>
        <strike/>
        <color theme="1"/>
        <sz val="10.0"/>
      </rPr>
      <t xml:space="preserve">       RM7,000.00   </t>
    </r>
    <r>
      <rPr>
        <rFont val="Arial"/>
        <b/>
        <strike/>
        <color theme="1"/>
        <sz val="10.0"/>
      </rPr>
      <t>OS21000</t>
    </r>
    <r>
      <rPr>
        <rFont val="Arial"/>
        <strike/>
        <color theme="1"/>
        <sz val="10.0"/>
      </rPr>
      <t xml:space="preserve">       RM2,500.00</t>
    </r>
  </si>
  <si>
    <t>TS3 S2 I1 KPI4</t>
  </si>
  <si>
    <t>Semua guru prasekolah dilatih secara dalam talian untuk menggunakan bahasa Inggeris sebagai bahasa instruksional pada tahun 2026 selaras dengan pelaksanaan Kurikulum Prasekolah.</t>
  </si>
  <si>
    <t>Bilangan guru prasekolah mengikuti latihan penguasaan Bahasa Inggeris secara dalam talian</t>
  </si>
  <si>
    <t>Bilangan guru prasekolah Daerah LMS mengikuti latihan penguasaan Bahasa Inggeris secara dalam talian</t>
  </si>
  <si>
    <t>Guru prasekolah Daerah LMS mengikuti latihan penguasaan Bahasa Inggeris secara dalam talian</t>
  </si>
  <si>
    <t xml:space="preserve">Membuat semakan dan  maklum balas  kursus secara dalam  talian </t>
  </si>
  <si>
    <t>Januari</t>
  </si>
  <si>
    <t>Sedang dilaksanakan</t>
  </si>
  <si>
    <t>Kutipan data telah selesai pada 16/01/2026 tetapi analisis mengikut daerah sedang diproses</t>
  </si>
  <si>
    <t>TS3 S2 I1 KPI7</t>
  </si>
  <si>
    <t>Peratus Guru STEM diberikan latihan pembangunan profesionalisme berterusan berbantukan AI bagi memastikan kompetensi mereka relevan dan berorientasi masa depan. (2026: 20%, 2027: 50%)</t>
  </si>
  <si>
    <t>Peratus Guru STEM mendapat latihan Pembangunan Profesionalisme Berterusan berbantukan AI</t>
  </si>
  <si>
    <t>Peratus Guru STEM diberikan latihan pembangunan profesionalisme berterusan berbantukan AI bagi memastikan kompetensi mereka relevan dan berorientasi masa depan. (     guru STEM di daerah Larut Matang dan Selama)</t>
  </si>
  <si>
    <t xml:space="preserve">TOV Negeri :
6.36%
TOV Daerah :
</t>
  </si>
  <si>
    <t>Sasaran Negeri :
20%
Sasaran Daerah :</t>
  </si>
  <si>
    <t>Pemerkasaan Guru STEM melalui Kecerdasan Buatan (AI) untuk Pembelajaran Berorientasi Masa Depan : Aplikasi Chatgpt, Gemini, Microsoft Copilot dan Chatbot, Sistem Pengurusan Pembelajaran Berkuasa AI (LMS), Alat Gamifikasi dan Simulasi</t>
  </si>
  <si>
    <t>1.  Bengkel Penyelarasan Pengintegrasian AI dalam Pengajaran &amp; Pembelajaran Kepada 12 orang JUD, 12 orang SISC+ dan 6 orang pegawai Sains dan Matematik selesai dilaksanakan</t>
  </si>
  <si>
    <t>SPb :                   Unit TMK                                Unit TVET                                  Unit SM</t>
  </si>
  <si>
    <t>SSTP</t>
  </si>
  <si>
    <t>30 orang x RM 20 x 2 hari = RM 1200</t>
  </si>
  <si>
    <t>OS 21 = RM 5000
OS 29 = RM 1200</t>
  </si>
  <si>
    <t>Belum laksana</t>
  </si>
  <si>
    <t>* Mohon peruntukan tahun 2026</t>
  </si>
  <si>
    <t>2.  Bengkel Pengintegrasian AI dalam Pengajaran &amp; Pembelajaran Kepada 2100 orang Guru STEM Negeri Perak selesai dilaksanakan</t>
  </si>
  <si>
    <t>2100 orang x RM 20 x 1 hari = RM 42000</t>
  </si>
  <si>
    <t>OS 21 = RM  36,000
OS 29 = RM 42,000</t>
  </si>
  <si>
    <t>TS3 S2 I1 KPI6</t>
  </si>
  <si>
    <t>IPG Kampus Pendidikan Teknik dijadikan IPG TVET bagi memberi latihan kepada guru dalam bidang TVET</t>
  </si>
  <si>
    <t>Meningkatkan pengambilan graduan bidang TVET khususnya ke IPG Kampus Pendidikan Teknik
(Pusat latihan kepada guru untuk latihan dalam bidang TVET)</t>
  </si>
  <si>
    <t>Sasaran Negeri :
Sekali setahun
Sasaran Daerah :</t>
  </si>
  <si>
    <t>Promosi bidang TVET khususnya ke pendidikan bidang TVET</t>
  </si>
  <si>
    <t>1.  Promosi untuk lepasan SPM sempena Karnival TVET pada bulan Jun selesai dilaksanakan.</t>
  </si>
  <si>
    <t>SPS, SPM</t>
  </si>
  <si>
    <t>tidak melibatkan kos kerana dibuat semasa karnival tvet</t>
  </si>
  <si>
    <t>TS3 S3 I1</t>
  </si>
  <si>
    <t>Peratus PPP mengikuti latihan peningkatan kompetensi menggunakan Analisis Latihan Berasaskan Kompetensi (CBTA).</t>
  </si>
  <si>
    <t>TOV Negeri :
0
TOV Daerah :</t>
  </si>
  <si>
    <t>Sasaran Negeri :
100%
Sasaran Daerah :</t>
  </si>
  <si>
    <r>
      <rPr>
        <rFont val="Arial"/>
        <b/>
        <strike/>
        <color theme="1"/>
        <sz val="10.0"/>
      </rPr>
      <t>Pemerkasaan perancangan, pelaksanaan dan pemantauan</t>
    </r>
    <r>
      <rPr>
        <rFont val="Arial"/>
        <strike/>
        <color theme="1"/>
        <sz val="10.0"/>
      </rPr>
      <t xml:space="preserve"> latihan peningkatan kompetensi Pegawai Perkhidmatan Pendidikan (PPP) menggunakan Analisis Latihan Berasaskan Kompetensi (CBTA).</t>
    </r>
  </si>
  <si>
    <t>1.  Pelaksanaan Analisis Keperluan Latihan (TNA) berasaskan CBTA serta pengesahan dan penyelarasan keutamaan latihan melibatkan JPN, PPD dan sekolah bagi sekurang-kurangnya 85% PPP selesai dilaksanakan.</t>
  </si>
  <si>
    <t>SSM</t>
  </si>
  <si>
    <t>SPPPD, SPb, SPS, SPM, SPI, SPP, SPK, SSTP, SPsK</t>
  </si>
  <si>
    <t>Selesai. TNA 2026 telah selesai dijawab pada Disember 2025</t>
  </si>
  <si>
    <t>Tiada kos diperlukan penyelarasan melalui pemantauan dan pengisian dalam sistem CerDIK serta kawalan melalui Mesyuarat Jawatankuasa Latihan yang bersidang tiga kali setahun</t>
  </si>
  <si>
    <t>2.  Penyediaan, kelulusan dan pelaksanaan Pelan Operasi Latihan peningkatan kompetensi PPP berasaskan dapatan CBTA di peringkat negeri, PPD dan sekolah yang melibatkan sekurang-kurangnya 90% PPP selesai dilaksanakan.</t>
  </si>
  <si>
    <t xml:space="preserve">Belum Selesai </t>
  </si>
  <si>
    <t>3.  Pemantauan, penilaian dan pelaporan peratus PPP yang mengikuti latihan peningkatan kompetensi berasaskan CBTA melalui CerDIK/HRMIS bagi 100% PPP selesai dilaksanakan.</t>
  </si>
  <si>
    <t>TS3 S1 I2 KPI2</t>
  </si>
  <si>
    <t>Peratus peningkatan Indeks Kesejahteraan Guru.</t>
  </si>
  <si>
    <t>TOV Negeri :
77.08%
TOV Daerah : 76.9%</t>
  </si>
  <si>
    <t>Sasaran Negeri :
80%
Sasaran Daerah : 80%</t>
  </si>
  <si>
    <t xml:space="preserve">Pengukuhan proses saringan menggunakan Instrumen Kesejahteraan Guru (IKG) / Instrumen Kesejahteraan Psikologi (IKPsi) </t>
  </si>
  <si>
    <t>Pelaksanaan saringan Indeks Kesejahteraan Guru kepada 100% guru daerah Larut Matang dan Selama dan analisis data mengikut sekolah selesai.</t>
  </si>
  <si>
    <t>SPsK</t>
  </si>
  <si>
    <t>SPS, SSM. SICT, SSTP</t>
  </si>
  <si>
    <t>Belum Laksana</t>
  </si>
  <si>
    <t>Pelaksanaan 1 program kompetensi Guru Bimbingan dan Kaunseling selesai</t>
  </si>
  <si>
    <t>RM5,000.00</t>
  </si>
  <si>
    <t>OS29000: RM 5,000</t>
  </si>
  <si>
    <t xml:space="preserve">Pemantapan intervensi kesejahteraan guru </t>
  </si>
  <si>
    <t>Pelaksanaan Literasi Kesejahteraan Guru kepada 23% guru yang mendapat tahap Tinggi dan Sederhana bagi tahap keseluruhan Instrumen Kesejahteraan Guru (IKG) / Instrumen Kesejahteraan Psikologi (IKPsi) selesai.</t>
  </si>
  <si>
    <t>SPS, SSM</t>
  </si>
  <si>
    <t>RM5000.00</t>
  </si>
  <si>
    <t xml:space="preserve">OS29000: RM5000.00
</t>
  </si>
  <si>
    <t>Pelaksanaan  Intervensi Kesejahteraan Guru Bersasar oleh sektor sokongan / PPD bagi 10% guru yang mendapat tahap rendah dan sangat rendah bagi domain tertentu menggunakan Instrumen Kesejahteraan Guru (IKG) / Instrumen Kesejahteraan Psikologi (IKPsi)  selesai.</t>
  </si>
  <si>
    <t>SPS, SPI, SSM, PPD</t>
  </si>
  <si>
    <t>OS29000: RM5000.00</t>
  </si>
  <si>
    <t xml:space="preserve">Peratus pendidik terlibat dalam penyelidikan bagi mempertingkat kualiti pengajaran dan pembelajaran serta memperkukuh profesionalisme keguruan. </t>
  </si>
  <si>
    <t xml:space="preserve">Bilangan pendidik terlibat dalam penyelidikan bagi mempertingkatkan kualiti pengajaran dan pembelajaran serta memperkukuh profesionalisme keguruan
</t>
  </si>
  <si>
    <t>Program Pembudayaan Kajian Tindakan dan Bengkel Penulisan Kajian</t>
  </si>
  <si>
    <t>Bengkel Penulisan Kajian Tindakan Peringkat Daerah</t>
  </si>
  <si>
    <t>SPPPPD</t>
  </si>
  <si>
    <t>Online</t>
  </si>
  <si>
    <t>DALAM PELAKSANAAN</t>
  </si>
  <si>
    <t xml:space="preserve">Kolokium Kajian Tindakan dan Inovasi Peringkat Daerah </t>
  </si>
  <si>
    <t>OS29000 : 
243 orang peserta X RM 20 X 1 hari = RM 4860.00
20 orang juri &amp; pegawai X RM 20 X1 hari = RM 400.00
0S21000 : 100 kereta X RM 50 = RM 5000</t>
  </si>
  <si>
    <t>Peratus Pengisian AKP di sekolah</t>
  </si>
  <si>
    <t>Menyediakan laporan data Jawatan, Isi, Kosong (JIK) secara bulanan bagi mengenal pasti kekosongan jawatan Anggota Kumpulan Pelaksana (AKP) di sekolah.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</si>
  <si>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</si>
  <si>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</si>
  <si>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</si>
  <si>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</si>
  <si>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</si>
  <si>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TS4 S1 I1 KPI4</t>
  </si>
  <si>
    <t>Peratus sekolah yang mempunyai bangunan daif pada Skala 6 ditangani. (KPI QW Baharu: semak bilangan/peratus by 2027)</t>
  </si>
  <si>
    <t>Peratus sekolah yang mempunyai bangunan daif pada Skala 6 ditangani</t>
  </si>
  <si>
    <t>Sasaran Negeri :
5%
Sasaran Daerah :</t>
  </si>
  <si>
    <t>Pelaksanaan kerja penyelenggaraan di sekolah yang mempunyai bangunan daif pada Skala 6 melalui peruntukan USNT.</t>
  </si>
  <si>
    <t>1.  Bengkel Penyediaan Bill of Quantitiies (BQ) bagi kerja-kerja penyelenggaraan sehingga kerja perolehan telah selesai dilaksanakan</t>
  </si>
  <si>
    <t>OS29000
20 orang x RM20 x 2 kali = RM800.00</t>
  </si>
  <si>
    <t>2.  Permohonan peruntukan bagi skop USNT ke BP KPM telah selesai dilaksanakan.</t>
  </si>
  <si>
    <t>RM1 juta satu sekolah menggunapakai peruntukan P63</t>
  </si>
  <si>
    <t>3.  Pemantauan kerja-kerja penyelenggaraan dari awal projek sehingga siap telah selesai dilaksanakan.</t>
  </si>
  <si>
    <t>OS21000 
24 orang x RM400 x 9 bulan = RM86,400.00
OS29000 
24 orang x RM20 x 18 kali = RM8,640.00</t>
  </si>
  <si>
    <t>TS4 S1 I2</t>
  </si>
  <si>
    <t>Pemasangan CCTV di 300 buah sekolah asrama harian.</t>
  </si>
  <si>
    <t>Pemasangan CCTV di sekolah asrama harian.</t>
  </si>
  <si>
    <r>
      <rPr>
        <rFont val="Arial"/>
        <strike/>
        <color rgb="FF000000"/>
        <sz val="11.0"/>
      </rPr>
      <t xml:space="preserve">TOV Negeri : 01
10
TOV Daerah : </t>
    </r>
    <r>
      <rPr>
        <rFont val="Arial"/>
        <strike/>
        <color rgb="FF000000"/>
        <sz val="11.0"/>
      </rPr>
      <t>01</t>
    </r>
  </si>
  <si>
    <r>
      <rPr>
        <rFont val="Arial"/>
        <strike/>
        <color rgb="FF000000"/>
        <sz val="11.0"/>
      </rPr>
      <t xml:space="preserve">Sasaran Negeri :
14
Sasaran Daerah : </t>
    </r>
    <r>
      <rPr>
        <rFont val="Arial"/>
        <strike/>
        <color rgb="FF000000"/>
        <sz val="11.0"/>
      </rPr>
      <t>03</t>
    </r>
  </si>
  <si>
    <t>Pembekalan dan Pemasangan CCTV di Sekolah Berasrama Bawah KPM</t>
  </si>
  <si>
    <r>
      <rPr>
        <rFont val="Arial"/>
        <strike/>
        <color rgb="FF000000"/>
        <sz val="11.0"/>
      </rPr>
      <t xml:space="preserve">Pembekalan dan Pemasangan CCTV di </t>
    </r>
    <r>
      <rPr>
        <rFont val="Arial"/>
        <strike/>
        <color rgb="FF000000"/>
        <sz val="11.0"/>
      </rPr>
      <t>08</t>
    </r>
    <r>
      <rPr>
        <rFont val="Arial"/>
        <strike/>
        <color rgb="FF000000"/>
        <sz val="11.0"/>
      </rPr>
      <t xml:space="preserve"> buah asrama harian tahun 2026  selesai dilaksanakan</t>
    </r>
  </si>
  <si>
    <t>SPM, SIP</t>
  </si>
  <si>
    <t>RM280,000</t>
  </si>
  <si>
    <r>
      <rPr>
        <rFont val="Arial"/>
        <b/>
        <strike/>
        <color theme="1"/>
        <sz val="11.0"/>
      </rPr>
      <t>OS27000</t>
    </r>
    <r>
      <rPr>
        <rFont val="Arial"/>
        <strike/>
        <color theme="1"/>
        <sz val="11.0"/>
      </rPr>
      <t xml:space="preserve">     RM20,000 x 14 sekolah =RM280,000.00</t>
    </r>
  </si>
  <si>
    <r>
      <rPr>
        <rFont val="Arial"/>
        <strike/>
        <color rgb="FF000000"/>
        <sz val="11.0"/>
      </rPr>
      <t xml:space="preserve">Pembekalan dan Pemasangan CCTV melibatkan </t>
    </r>
    <r>
      <rPr>
        <rFont val="Arial"/>
        <strike/>
        <color rgb="FF000000"/>
        <sz val="11.0"/>
      </rPr>
      <t>1</t>
    </r>
    <r>
      <rPr>
        <rFont val="Arial"/>
        <strike/>
        <color rgb="FF000000"/>
        <sz val="11.0"/>
      </rPr>
      <t xml:space="preserve"> buah Sekolah Asrama Harian bagi tahun 2026 selesai dilaksanakan mengikut garis masa yang ditetapkan KPM</t>
    </r>
  </si>
  <si>
    <t>SIP, PPD</t>
  </si>
  <si>
    <t>RM20,000</t>
  </si>
  <si>
    <t>OS27000     RM20,000 x 1 sekolah = RM20 000</t>
  </si>
  <si>
    <t>TS4 S1 I3</t>
  </si>
  <si>
    <t>200 kelas pendidikan khas disediakan pada tahun 2027. (2026: 100 kelas, 2027: 100 kelas)</t>
  </si>
  <si>
    <t>13 kelas pendidikan khas disediakan pada tahun 2027 (2026:6 kelas, 2027: 7 kelas)</t>
  </si>
  <si>
    <t>TOV Negeri :
5 kelas
TOV Daerah :</t>
  </si>
  <si>
    <t>Sasaran Negeri :
6 kelas
Sasaran Daerah :</t>
  </si>
  <si>
    <t>Pengukuhan penyelarasan permohonan peluasan sedia ada dan baharu kelas pendidikan khas</t>
  </si>
  <si>
    <t>1.  Permohonan kelulusan tukar fungsi berdasarkan keperluan dalam Mesyuarat JPPP Negeri Perak selesai dilaksanakan</t>
  </si>
  <si>
    <t>S4PD, SIP</t>
  </si>
  <si>
    <t>2.  Penyelarasan Permohonan Binaan Baharu / Binaan Tambahan dibawah peruntukan RMK 13 melibatkan 9 pegawai JPN, 12 Penolong PPD Pendidikan Khas, 12 Penolong Jurutera Daerah dan 12 Penolong PPD Perancangan selesai dilaksanakan</t>
  </si>
  <si>
    <t>RM 17,800.00</t>
  </si>
  <si>
    <t>OS29000 : RM 20.00 X 45 orang X 2 kali = RM 1,800.00
OS21000 : RM 16,000.00</t>
  </si>
  <si>
    <t>TS4 S2 I2</t>
  </si>
  <si>
    <t>1,801 sekolah dilengkapi dengan peralatan makmal komputer pada tahun 2026.</t>
  </si>
  <si>
    <t>218 buah sekolah dilengkapi dengan peralatan makmal komputer pada tahun 2026</t>
  </si>
  <si>
    <t>TOV Negeri:
0
TOV Daerah :</t>
  </si>
  <si>
    <t>Sasaran Negeri :
218
Sasaran Daerah :</t>
  </si>
  <si>
    <t>Pembekalan peralatan ICT di 218 makmal komputer sekolah Negeri Perak</t>
  </si>
  <si>
    <t>1.  Pelaksanaan agihan 4,353 unit notebook ke 218 buah sekolah selesai</t>
  </si>
  <si>
    <t>SICT</t>
  </si>
  <si>
    <t>RM32,964,389.40</t>
  </si>
  <si>
    <t xml:space="preserve">1. Notebook - RM27,340,322.40
</t>
  </si>
  <si>
    <t>Fasa Pelaksanaan</t>
  </si>
  <si>
    <t>Peralatan dibekalkan melalui Projek Sewaan Peralatan ICT Bagi Kegunaan PdP Di Makmal Komputer Sekolah KPM Fasa 4.</t>
  </si>
  <si>
    <t>2.  Pelaksanaan agihan 199 unit printer ke 199 buah sekolah selesai</t>
  </si>
  <si>
    <t>2. Printer - RM2,378,686.80</t>
  </si>
  <si>
    <t>3.  Pelaksanaan agihan 199 unit projector ke 199 buah sekolah selesai</t>
  </si>
  <si>
    <t>3. Projector - RM1,096,450.20</t>
  </si>
  <si>
    <t>4.  Pelaksanaan agihan 225 unit charging cart ke 218 buah sekolah selesai</t>
  </si>
  <si>
    <t>4. Charging Cart - RM2,148,930.00</t>
  </si>
  <si>
    <t>TS4 S2 I1</t>
  </si>
  <si>
    <t>AI-Powered Classroom dilaksanakan di 800 buah sekolah untuk menyokong pengajaran dan pembelajaran (PdP) digital. 
(2026: 260 sekolah, 2027: 540 sekolah)</t>
  </si>
  <si>
    <t>Bilangan sekolah yang mempunyai Bilik Darjah Dikuasakan AI (AI-Powered Classroom)
(LMS, KIU) - 2026
(BAP) - SK Senta</t>
  </si>
  <si>
    <t>Bilangan sekolah di Negeri Perak yang melaksanakan AI-Powered Classroom.</t>
  </si>
  <si>
    <t>Sasaran Negeri : 3
Sasaran Daerah : 1</t>
  </si>
  <si>
    <t>Pemantapan Penggunaan pelantar DELIMa 3.0 dan AI Tools oleh guru sebagai medium sokongan PdP di semua sekolah negeri Perak.</t>
  </si>
  <si>
    <t>1.  Pelaksanaan rintis di 1 buah sekolah telah selesai</t>
  </si>
  <si>
    <t>USTP</t>
  </si>
  <si>
    <t>OS 21000 (Perjalanan): 
8 guru x RM50 = RM400
OS 29000 (Makan): 
(2 pegawai JPN + 6 pegawai PPD + 60 Guru)
68 Pegawai x RM25 x 4 hari= RM6800</t>
  </si>
  <si>
    <t>SMK KAMPUNG JAMBU</t>
  </si>
  <si>
    <t>2. Lawatan Penanda Aras dan pendedahan pelaksanakan AI-Powered Classroom</t>
  </si>
  <si>
    <t>OS 21000 (Perjalanan): 
15 guru x RM50 = RM750
0S2900 (Makan):
(6 pegawai PPD + 9 Guru)
15 Pegawai x RM15 x 1 hari= RM225</t>
  </si>
  <si>
    <t>PGB, GPM dan GPICT dari 3 buah sekolah digital :
1. SK Jelai
2. SJKT Ladang Matang
3. SMK Bukit Jana</t>
  </si>
  <si>
    <t>TS4.S2.I1.KPI6</t>
  </si>
  <si>
    <t>Peratus penggunaan aktif pelantar DELIMa 3.0  dalam kalangan guru</t>
  </si>
  <si>
    <t>Peratus penggunaan aktif pelantar DELIMa 3.0 dalam kalangan guru di Negeri Perak</t>
  </si>
  <si>
    <t>Peratus penggunaan aktif pelantar DELIMa 3.0 dalam kalangan guru di Daerah Larut Matang dan Selama</t>
  </si>
  <si>
    <t>Sasaran Negeri :
50%
Sasaran Daerah :
60%</t>
  </si>
  <si>
    <t>Bengkel Penataran Penggunaan pelantar DELIMa 3.0 dan AI Tools oleh guru sebagai medium sokongan PdP di semua sekolah negeri Perak.</t>
  </si>
  <si>
    <t>1.  Satu (1) Bengkel Kerja Penyediaan bahan dan kandungan sokongan telah selesai.</t>
  </si>
  <si>
    <t>OS 21000 (Perjalanan): 
30 guru x RM50 = RM1500
30 Guru x RM25 x 4 hari = RM3000</t>
  </si>
  <si>
    <t>2.  1 Bengkel Penataran DELIMa 3.0 di setiap Daerah kepada Guru Penyelaras ICT setiap sekolah selesai.</t>
  </si>
  <si>
    <t>OS 21000 (Perjalanan): 
146 guru x RM50 = RM7300
OS 29000 : 
146 guru x RM25  = RM3650</t>
  </si>
  <si>
    <t>3.  Kunjung Bantu Penggunaan oleh PPD telah selesai.</t>
  </si>
  <si>
    <t>Sekolah Low Usage</t>
  </si>
  <si>
    <t>TS4.S2.I1.KPI2</t>
  </si>
  <si>
    <t>Peningkatan peratus guru yang mengintegrasikan AI dalam pengajaran dan pembelajaran (PdP)</t>
  </si>
  <si>
    <t>Bilangan guru di Daerah Larut Matang dan Selama yang mengintegrasikan AI dalam pengajaran dan pembelajaran (PdP)</t>
  </si>
  <si>
    <r>
      <rPr>
        <rFont val="Arial"/>
        <color theme="1"/>
        <sz val="11.0"/>
      </rPr>
      <t xml:space="preserve">TOV Negeri :
20000
TOV Daerah : </t>
    </r>
    <r>
      <rPr>
        <rFont val="Arial"/>
        <color rgb="FFFF0000"/>
        <sz val="11.0"/>
      </rPr>
      <t>3365</t>
    </r>
  </si>
  <si>
    <t>Sasaran Negeri :
28,850
78%
Sasaran Daerah : 3500</t>
  </si>
  <si>
    <t>Pemerkasaan Integrasi AI dalam Pengajaran dan Pembelajaran Guru di Negeri Perak</t>
  </si>
  <si>
    <t>OS 21000 (Perjalanan): 
30 guru x RM50 = RM1500.00
OS 29000 (Makan) 
30 Guru x RM25 x 4 hari = RM3000</t>
  </si>
  <si>
    <t>Pembinaan modul dan dashboard pemantauan.</t>
  </si>
  <si>
    <t>2.  6 Penataran PLC "AI Tools" di setiap kelompok PKG kepada guru.</t>
  </si>
  <si>
    <t>OS 21000 (Perjalanan): 
146 guru x RM50 x 6 hari = RM43,800.00 
OS 29000 (Makan) 
146 Guru x RM25 x 6 hari = RM21,900.00</t>
  </si>
  <si>
    <t>Ketua Panitia bersama pegawai SiSC+</t>
  </si>
  <si>
    <t>3.  3500 guru selesai menjalankan "PLC AI Tools" dalam DELIMa di sekolah.</t>
  </si>
  <si>
    <t>Pemantauan melalui dashboard.</t>
  </si>
  <si>
    <t>TS4.S2.I1.KPI3</t>
  </si>
  <si>
    <t>Peningkatan peratus murid yang menggunakan AI dalam pembelajaran setiap tahun</t>
  </si>
  <si>
    <t>Peratus murid di Daerah Larut Matang dan Selama yang menggunakan AI dalam pembelajaran</t>
  </si>
  <si>
    <t>Sasaran Negeri :
1%
Sasaran Daerah : 1%</t>
  </si>
  <si>
    <t>Bengkel Pendedahan penggunaan AI kepada murid sebagai bahan sokongan pembelajaran dalam PdP sedia ada secara terkawal dan beretika</t>
  </si>
  <si>
    <t>1.  Satu (1) Bengkel Pemantapan penggunaan AI murid mengikut kelompok selesai dilaksanakan.</t>
  </si>
  <si>
    <r>
      <rPr>
        <rFont val="Arial"/>
        <color theme="1"/>
        <sz val="11.0"/>
      </rPr>
      <t>OS 42000(Makan) 
290 murid x RM25</t>
    </r>
    <r>
      <rPr>
        <rFont val="Arial"/>
        <color rgb="FFFF0000"/>
        <sz val="11.0"/>
      </rPr>
      <t xml:space="preserve"> </t>
    </r>
    <r>
      <rPr>
        <rFont val="Arial"/>
        <color theme="1"/>
        <sz val="11.0"/>
      </rPr>
      <t>x 1 hari = RM7250</t>
    </r>
  </si>
  <si>
    <t>Peratusan mengikut KPM dan negeri adalah 1% setiap tahun, garis panduan AI murid belum ditatarkan dan mematuhi pemerkasaan MMI.</t>
  </si>
  <si>
    <t>2.  Pelaksanaan PdP contoh di sekolah terpilih selesai dilaksanakan.</t>
  </si>
  <si>
    <t>TS4.S2.I1.KPI5</t>
  </si>
  <si>
    <t>Peratus guru dilatih sebagai DELIMa expert berkaitan pelantar DELIMa dalam pengajaran dan pembelajaran (PdP)</t>
  </si>
  <si>
    <t>Bilangan guru di Negeri Perak yang dilatih sebagai DELIMa Expert</t>
  </si>
  <si>
    <t>Sasaran Negeri :
3
Sasaran Daerah :</t>
  </si>
  <si>
    <t>Penataran DELIMa 3.0 kepada Jurulatih Utama negeri Perak.</t>
  </si>
  <si>
    <t>1.  Penataran DELIMa 3.0 kepada 3 JU Negeri</t>
  </si>
  <si>
    <t>Digugurkan</t>
  </si>
  <si>
    <t>Aktiviti ini adalah di peringkat BSTP, KPM.(Peserta dari kalangan Pegawai JPN sahaja)</t>
  </si>
  <si>
    <t>TS4.S2.I1.KPI7</t>
  </si>
  <si>
    <t>Peratus penggunaan aktif pelantar DELIMa 3.0 dalam kalangan murid</t>
  </si>
  <si>
    <t>Peratus penggunaan aktif pelantar DELIMa 3.0 dalam kalangan murid di Negeri Perak</t>
  </si>
  <si>
    <t>Peratus penggunaan aktif pelantar DELIMa 3.0 dalam kalangan murid di Daerah Larut Matang dan Selama</t>
  </si>
  <si>
    <t>Sasaran Negeri :
40%
Sasaran Daerah :
50%</t>
  </si>
  <si>
    <t>Penataran Penggunaan DELIMa 3.0 oleh murid sebagai platform sokongan pembelajaran dalam PdP sedia ada secara berperingkat.</t>
  </si>
  <si>
    <t>1.  Bengkel Penggunaan Delima 3.0 kepada murid mengikut kelompok selesai dilaksanakan.</t>
  </si>
  <si>
    <r>
      <rPr>
        <rFont val="Arial"/>
        <color theme="1"/>
        <sz val="11.0"/>
      </rPr>
      <t>OS 42000(Makan) 
290 murid x RM25</t>
    </r>
    <r>
      <rPr>
        <rFont val="Arial"/>
        <color rgb="FFFF0000"/>
        <sz val="11.0"/>
      </rPr>
      <t xml:space="preserve"> </t>
    </r>
    <r>
      <rPr>
        <rFont val="Arial"/>
        <color theme="1"/>
        <sz val="11.0"/>
      </rPr>
      <t>x 1 hari = RM7250</t>
    </r>
  </si>
  <si>
    <t>Modul Aktiviti, Peraduan</t>
  </si>
  <si>
    <t>2.  Kunjung bantu di sekolah-sekolah terpilih selesai dilaksanakan.</t>
  </si>
  <si>
    <t>OS 42000 (Program Murid):
RM18,000</t>
  </si>
  <si>
    <t>Pemantauan menerusi dashboard</t>
  </si>
  <si>
    <t>TS4 S1 KPI3</t>
  </si>
  <si>
    <t>Bilangan sekolah yang diselenggara dan ditambah baik mengikut zon berdasarkan task-based bagi kerja-kerja pembaikan kecil. (2026: 50, 2027: 100</t>
  </si>
  <si>
    <t xml:space="preserve">Bilangan sekolah yang melaksanakan penyelenggaraan dan pembaikan mengikut zon berdasarkan task-based - bagi kerja-kerja pembaikan kecil dan tidak kompleks time </t>
  </si>
  <si>
    <t xml:space="preserve">Bilangan sekolah yang melaksanakan penyelenggaraan dan pembaikan mengikut zon berdasarkan task-based - bagi kerja-kerja pembaikan kecil dan tidak kompleks time  </t>
  </si>
  <si>
    <t xml:space="preserve">Sasaran Negeri :
12
Sasaran Daerah :
</t>
  </si>
  <si>
    <t>Pemerkasaan Pengurusan Penyelenggaraan Sekolah Berasaskan Zon melalui Pendekatan Task-Based</t>
  </si>
  <si>
    <t>1.  Permohonan peruntukan senggara ke BPA KPM telah selesai dilaksanakan</t>
  </si>
  <si>
    <t>KIP</t>
  </si>
  <si>
    <t>Anggaran RM70,000.00 bagi setiap sekolah</t>
  </si>
  <si>
    <t>2. Pelaksanaan kerja penyelenggaraan di sekolah mengikut zon bagi kerja-kerja pembaikan kecil</t>
  </si>
  <si>
    <t xml:space="preserve">OS21000 
27 orang x RM400 x 9 bulan = RM97,200.00
</t>
  </si>
  <si>
    <t>3. Pemantauan kerja-kerja penyelenggaraan dari awal prrojek sehingga siap</t>
  </si>
  <si>
    <t>TS4 S1 I4 KPI3</t>
  </si>
  <si>
    <t>Bilangan sekolah kurang murid (SKM) dioptimakan penggunaan. (2027: 5 buah sekolah)</t>
  </si>
  <si>
    <t>Bilangan Sekolah SKM yang dioptimakan penggunaan</t>
  </si>
  <si>
    <t>KPI baharu</t>
  </si>
  <si>
    <t>Sasaran Negeri :
3 buah Sekolah SKM
Sasaran Daerah :</t>
  </si>
  <si>
    <t>Pemerkasaan sekolah SKM</t>
  </si>
  <si>
    <t>1.  Audit secara berkala sekolah SKM yang dipilih 2 kali setahun selesai</t>
  </si>
  <si>
    <t>SPS
SPPPPD</t>
  </si>
  <si>
    <t>USR, SPS
SPPPPD</t>
  </si>
  <si>
    <t>RM960</t>
  </si>
  <si>
    <t>OS2900
8 Pegawai JPN dan PPD X RM20 X 2 hari x 3 kali = RM960</t>
  </si>
  <si>
    <t>BELUM SELESAI</t>
  </si>
  <si>
    <t>2.  Menilai dapatan penggunaan kemudahan infrastruktur secara optima dari aspek pengurusan pentadbiran sekolah 2 kali setahun selesai</t>
  </si>
  <si>
    <t>TS4 S1 I4 KPI4</t>
  </si>
  <si>
    <t>Bilangan kuarters terbiar dioptimakan penggunaan. (2027: 500 buah kuarters)</t>
  </si>
  <si>
    <t>Bilangan kuarters terbiar dioptimakan penggunaan. (2027: 100 buah kuarters)</t>
  </si>
  <si>
    <t>TOV Negeri :
1120
TOV Daerah :</t>
  </si>
  <si>
    <t>Sasaran Negeri :
50
Sasaran Daerah :</t>
  </si>
  <si>
    <t>Pemerkasaan Pengurusan dan Pengoptimuman Aset Kuarters Pendidikan Negeri</t>
  </si>
  <si>
    <t>1.  Mengadakan Sesi Libat Urus (SLU) bersama PPD sekurang-kurangnya sekali setahun bagi menentukan kuarters yang dicadangkan untuk ditukar fungsi dan syor roboh selesai dilaksanakan</t>
  </si>
  <si>
    <t>SP/ Unit Pentadbiran</t>
  </si>
  <si>
    <t>S4PD
 SIP</t>
  </si>
  <si>
    <t>Kos Bengkel Kerja: 
OS 21000 
RM34,000</t>
  </si>
  <si>
    <r>
      <rPr>
        <rFont val="Arial"/>
        <color theme="1"/>
        <sz val="11.0"/>
      </rPr>
      <t xml:space="preserve">
 i. Kos Penginapan (RM200/per pax x 3 hari x 40 orang) =RM24 ribu </t>
    </r>
    <r>
      <rPr>
        <rFont val="Arial"/>
        <color rgb="FFFF0000"/>
        <sz val="11.0"/>
      </rPr>
      <t xml:space="preserve">(1 siri SLU &amp; 1 siri Bengkel) </t>
    </r>
    <r>
      <rPr>
        <rFont val="Arial"/>
        <color theme="1"/>
        <sz val="11.0"/>
      </rPr>
      <t xml:space="preserve">
 ii. Kos perjalanan= 40 orang x RM250 = RM10ribu
 </t>
    </r>
  </si>
  <si>
    <t>Pemerkasaan Pengurusan Kuarters Terbiar melalui Penentuan Status, Dokumentasi Teknikal dan Pelaksanaan Tindakan Fizikal</t>
  </si>
  <si>
    <t>2.  Melaksanakan bengkel kerja  bersama PPD sekurang-kurangnya sekali setahun bagi penyediaan dokumentasi permohonan tukar fungsi dan syor roboh selesai dilaksanakan</t>
  </si>
  <si>
    <t>RM1.45 juta</t>
  </si>
  <si>
    <t>Kos tukar fungsi untuk kegunaan pendidikan: RM1.2 juta (RM200 ribu x 6 PPD) 
Kos syor roboh: 5 unit x RM50 ribu = RM250ribu</t>
  </si>
  <si>
    <t>Bilangan kelas prasekolah KPM baharu dibuka sebagai persediaan pendidikan wajib prasekolah</t>
  </si>
  <si>
    <t>Bilangan kelas prasekolah KPM baharu dibuka sebagai persediaan pendidikan wajib prasekolah Daerah Larut Matang dan Selama</t>
  </si>
  <si>
    <t>5 Institusi
6 Kelas</t>
  </si>
  <si>
    <t>Peluasan kelas prasekolah bagi kelas prasekolah perdana KPM</t>
  </si>
  <si>
    <t>SLU dengan 6 buah sekolah yang mempunyai lebihan kelas fizikal dan enrolmen yang tinggi dua kali setahun.</t>
  </si>
  <si>
    <t xml:space="preserve">UPR SPS </t>
  </si>
  <si>
    <t>Peratus institusi pendidikan dilengkapi dengan kemudahan mesra OKU.</t>
  </si>
  <si>
    <t>Bilangan Pusat Perkhidmatan Pendidikan Khas di daerah</t>
  </si>
  <si>
    <t>Bilangan sekolah yang dibekalkan dengan Peralatan Sokongan dan Bahan Pembelajaran Asas</t>
  </si>
  <si>
    <t>Peratus sekolah dilengkapi kemudahan asas</t>
  </si>
  <si>
    <t>Peratus institusi pendidikan KPM dilengkapi dengan peralatan sokongan digital yang menyokong pembelajaran secara maya (contoh seperti alat AR, VR Box atau selari dengan keperluan teknologi semasa)</t>
  </si>
  <si>
    <t>Peratus Sekolah Menengah mencapai Nisbah Peranti 1:1</t>
  </si>
  <si>
    <t>Peratus institusi KPM mendapat capaian internet yang stabil menggunakan teknologi fiber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</si>
  <si>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</si>
  <si>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</si>
  <si>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</si>
  <si>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</si>
  <si>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</si>
  <si>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TS5 S1 I1 KPI1</t>
  </si>
  <si>
    <t>Peratus peningkatan bilangan kerjasama dengan pihak berkepentingan</t>
  </si>
  <si>
    <t>Peratus pelibatan kerjasama antara pihak berkepentingan dengan institusi pendidikan KPM yang menerima sokongan sukarelawan</t>
  </si>
  <si>
    <t>Sasaran Negeri :
100%
Sasaran Daerah :
100%</t>
  </si>
  <si>
    <t xml:space="preserve">Pemerkasaan Kerjasama Strategik dan Pengurusan Sukarelawan Pendidikan </t>
  </si>
  <si>
    <t xml:space="preserve">1.  SLU Pemimpin Sekolah - Focal Person &amp; PIBG
Rekrutmen Sukarelawan &amp; Saringan selesai dilaksanakan.
(2 kali setahun )
</t>
  </si>
  <si>
    <t>SPb
SPsK</t>
  </si>
  <si>
    <t>OS29000
(10 Pegawai PPD + 1 FP + 146 PIBG) X RM20 X 1 hari x 2 kali = RM6280.00</t>
  </si>
  <si>
    <t>2.  Penilaian &amp; Penambahbaikan selesai dilaksanakan
( 2 kali setahun )</t>
  </si>
  <si>
    <t>TS5 S2 I1</t>
  </si>
  <si>
    <t>Peratus peningkatan jumlah sumbangan daripada kerjasama dengan pihak berkepentingan.</t>
  </si>
  <si>
    <t>Peratus pelibatan kerjasama antara pihak berkepentingan dengan institusi pendidikan KPM yang menerima sumbangan</t>
  </si>
  <si>
    <t xml:space="preserve">
Pemantapan Sistem Rakan Strategik dan Pengurusan Sukarelawan Pendidikan
(Bengkel pengisian Sistem Rakan Strategik bersama PIC daerah)</t>
  </si>
  <si>
    <t>1.  SLU Pemimpin Sekolah - Focal Person &amp; PIBG bagi mengenalpasti,memantau serta menyusun strategi bagi mencapai sasaran selesai dilaksanakan.</t>
  </si>
  <si>
    <t>OS29000
(10 Pegawai PPD + 1 FP + 146 PIBG) X RM20 X 1 hari x 1 kali = RM3140.00</t>
  </si>
  <si>
    <t>2.  Pembentangan analisis data sumbangan pelbagai bentuk serta Penghargaan &amp; Pengiktirafan kepada pihak penyumbang yang melepasi sasaran selesai dilaksanakan</t>
  </si>
  <si>
    <t>OS21000
146 PGB X 50km X RM0.90 X 1kali = RM6570.00                                             
OS29000
(10 Pegawai  PPD + 146 PGB + 10 penerima) X RM20 X1 hari X 1 kali = RM3320.00</t>
  </si>
  <si>
    <t>TS5 S3 I1 KPI2</t>
  </si>
  <si>
    <t>Peningkatan penguasaan pembelajaran murid melalui sokongan Program Pendidikan Bergerak dengan kerjasama rakan strategik.</t>
  </si>
  <si>
    <t>Peratus pelaksanaan Program Pendidikan Bergerak (outreach) mengikut keperluan lokaliti.</t>
  </si>
  <si>
    <t>Peningkatan bilangan pelaksanaan Program Pendidikan Bergerak (outreach) mengikut keperluan lokaliti</t>
  </si>
  <si>
    <t xml:space="preserve">KPI Baharu
</t>
  </si>
  <si>
    <t>Sasaran Daerah:
470</t>
  </si>
  <si>
    <t>Sekolah-sekolah dalam daerah mengadakan program pendidikan luar.</t>
  </si>
  <si>
    <t>Memproses permohonan program yang diterima daripada sekolah-sekolah dalam tempoh 14 hari bagi program dalam daerah dan 30 hari program luar daerah.</t>
  </si>
  <si>
    <t>TS5 S3 I1 KPI1</t>
  </si>
  <si>
    <t>Peratus peningkatan Indeks Kesejahteraan Guru (IKG) di institusi pendidikan KPM yang menerima sokongan sukarelawan.</t>
  </si>
  <si>
    <t>Peratus peningkatan Indeks Kesejahteraan Guru (IKG) di sekolah daerah Larut Matang dan Selama yang menerima sokongan sukarelawan</t>
  </si>
  <si>
    <t>TOV Negeri :
80%
TOV Daerah : 76.9%</t>
  </si>
  <si>
    <t>Pelaksanaan Sokongan Sukarelawan Berfokus Kesejahteraan guru</t>
  </si>
  <si>
    <t>Pelaksanaan intervensi 5 SM dan 5 SR yang memperoleh tahap rendah dan sangat rendah berdasarkan analisis skor Indeks Kesejahteraan Guru (IKG)/Instrumen Kesejahteraan Psikologi (IKPsi) tahun asas.</t>
  </si>
  <si>
    <t>OS2900 RM5000.00</t>
  </si>
  <si>
    <t>BELUM DILAKSANA</t>
  </si>
  <si>
    <t>Peratus peningkatan penguasaan pembelajaran murid melalui sokongan Program Pendidikan Bergerak dengan kerjasama rakan strategik.</t>
  </si>
  <si>
    <t>TOV Negeri :
0%
TOV Daerah :
0%</t>
  </si>
  <si>
    <t>Pemerkasaan Literasi &amp; STEM melalui sokongan Program Pendidikan Bergerak dengan kerjasama rakan strategik.</t>
  </si>
  <si>
    <t>1.  Program jelajah sains &amp; literasi dengan kerjasama Yayasan PETRONAS untuk 12 daerah (50 guru bagi 1 daerah) selesai dilaksanakan.</t>
  </si>
  <si>
    <t>RM46,200.00</t>
  </si>
  <si>
    <t>OS29000
50 guru (setiap PPD) x 12 PPD x RM20 x 1 hari = RM12,000
5 pegawai x 12 PPD x RM20 x1hari = RM1,200.00
OS21000
50 guru (setiap PPD) x 12 PPD x RM50 x 1 hari = RM30,000.00
5 pegawai x 12 PPD x RM50 x1hari = RM3,000.00</t>
  </si>
  <si>
    <t>2.  Pelaksanaan 1 kali bengkel kerja pembinaan modul kelas pemulihan dengan kerjasama Institut Pendidikan Guru (IPG) selesai dilaksanakan.</t>
  </si>
  <si>
    <t>IPG</t>
  </si>
  <si>
    <t>RM30,360.00</t>
  </si>
  <si>
    <t>OS29000
(24 guru + 5 pegawai JPN + 12 pegawai pemulihan PPD + 5 pensyarah IPG) x RM20 x 3 hari = RM2,760.00
OS21000
(24 guru + 5 pegawai JPN + 12 pegawai pemulihan PPD + 5 pensyarah IPG) x RM200 x 3 hari = RM27,600.00</t>
  </si>
  <si>
    <t>3.  Pelaksanaan 12 kali (12 daerah) bengkel latihan penggunaan modul kepada 850 guru pemulihan selesai dilaksanakan.</t>
  </si>
  <si>
    <t>RM61,180.00</t>
  </si>
  <si>
    <t xml:space="preserve">OS29000
850 guru pemulihan (1 orang setiap sekolah) x RM20 = RM17,000.00
(1 pegawai JPN + 1 pegawai pemulihan PPD) x 12 PPD x RM20 x 1 hari = RM480.00
OS21000
850 guru pemulihan (1 orang setiap sekolah) x RM50 = RM42,500.00
(1 pegawai JPN + 1 pegawai pemulihan PPD) x 12 PPD x RM50 x 1 hari = RM1,200.00
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</si>
  <si>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</si>
  <si>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</si>
  <si>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</si>
  <si>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</si>
  <si>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</si>
  <si>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TS6.S3.I1.KPI2</t>
  </si>
  <si>
    <t>Peningkatan bilangan program kerjasama dengan CSO, agensi kerajaan, agensi swasta dan universiti berkaitan kemampanan</t>
  </si>
  <si>
    <t>Bilangan program kerjasama JPN dengan CSO, agensi kerajaan, agensi swasta dan universiti berkaitan kemampanan</t>
  </si>
  <si>
    <t>Bilangan program kerjasama PPD dengan CSO, agensi kerajaan, agensi swasta dan universiti berkaitan kemampanan</t>
  </si>
  <si>
    <t>Tiada (KPI baharu)</t>
  </si>
  <si>
    <t>Sasaran Negeri :
20
Sasaran Daerah :</t>
  </si>
  <si>
    <t xml:space="preserve">Pemerkasaan kefahaman dasar dan inisiatif reformasi pendidikan berkaitan pengoperasian kerjasama strategik
</t>
  </si>
  <si>
    <t>Pelaksanaan sesi libat urus kepada focal person dan YDP PIBG dua kali setahun selesai</t>
  </si>
  <si>
    <t xml:space="preserve">Sektor Pembangunan Murid
Sektor Pendidikan Islam
Sektor Pendidikan Khas
Sektor Pengurusan Sekolah
Sektor Perancangan dan Pengurusan PPD
</t>
  </si>
  <si>
    <t>RM5920.00</t>
  </si>
  <si>
    <t>OS29000:
RM20.00 x 148 x 2 kali = RM5920.00</t>
  </si>
  <si>
    <t>146 YDP &amp; 2 FP</t>
  </si>
  <si>
    <t>TS6 S1 I1 KPI1</t>
  </si>
  <si>
    <t>Peratus institusi pendidikan KPM melaksanakan program train-the-trainer.</t>
  </si>
  <si>
    <t xml:space="preserve">Peratus PPP disetiap negeri yang mencapai kompetensi kemampanan dalam program Train-the-Trainer </t>
  </si>
  <si>
    <t>Pelaksanaan Program Train-the-Trainer (TTT) secara berfasa melalui pengukuhan jurulatih SEKAWAN Malaysia MADANI dan pelaksanaan latihan secara berperingkat negeri dan daerah.</t>
  </si>
  <si>
    <t>5% Pegawai Perkhidmatan Pendidikan (PPP) negeri Perak mencapai kompetensi kemampanan hasil pelaksanaan Program Train-the-Trainer dan latihan secara berperingkat mengikut daerah selesai dilaksanakan</t>
  </si>
  <si>
    <t>Sektor Sumber Manusia</t>
  </si>
  <si>
    <t>SPPPPD dan PPD</t>
  </si>
  <si>
    <t>RM62,300</t>
  </si>
  <si>
    <t xml:space="preserve">OS21000 x 1780 orang x RM15 (pergi dan balik) = RM26,700
OS29000 x 1780 orang x RM20 = RM35,600
Peruntukan sepenuhnya Bahagian Profesionalisme Guru (BPG) </t>
  </si>
  <si>
    <t xml:space="preserve">JU tahun 2024 seramai 2735 orang 
JU tahun 2025 seramai 1380 orang
Sasaran JU tahun 2026 seramai 1780 orang 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</si>
  <si>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</si>
  <si>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</si>
  <si>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</si>
  <si>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</si>
  <si>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</si>
  <si>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TS7 S4 I1 KPI1</t>
  </si>
  <si>
    <t>Peratus pembangunan dokumen standard Pelan Pengurusan Perubahan Kementerian. (2026: 30%, 2027: 100%)</t>
  </si>
  <si>
    <t>Peratus pembangunan dokumen standard Pelan Pengurusan Perubahan Peiringkat JPN</t>
  </si>
  <si>
    <t>TB
Pengukuran Pencapaian KPM: Satu dokumen standard Pelan Pengurusan Perubahan untuk diguna pakai oleh semua Bahagian, JPN, PPD dan institusi pendidikan KPM</t>
  </si>
  <si>
    <t>Dokumen yang diterima daripada peringkat KPM dan JPN akan disebar luas kepada sekolah.</t>
  </si>
  <si>
    <t>TS7 S4 I1 KPI2</t>
  </si>
  <si>
    <t>Peratus Pembangunan dokumen induk 'Pelan Pengurusan Risiko Kementerian Pendidikan’. (2026: 30%, 2027: 100%)</t>
  </si>
  <si>
    <t>Peratus pembangunan Dokumen Induk 'Pelan  Risiko ' peringkat Jabatan Penidikan Negeri Perak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</si>
  <si>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</si>
  <si>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</si>
  <si>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</si>
  <si>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</si>
  <si>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</si>
  <si>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TS2.S3.I1.KPI1</t>
  </si>
  <si>
    <t>Peratus murid dalam aliran sains tulen di peringkat menengah atas (Negeri Melaka)</t>
  </si>
  <si>
    <t>1. Pemerkasaan kompetensi PPP dalam bidang sains tulen.</t>
  </si>
  <si>
    <t xml:space="preserve">1. Pelaksanaan latihan kompetensi kepada 10 orang SIP+ dan 40 orang SISC selesai.
2. Pelaksanaan Bengkel Peningkatan Pedagogi kepada 136 guru Matematik Tambahan selesai.
3. Pelaksanaan latihan pemerkasaan DDDM kepada 205 GBK sekolah menengah selesai. </t>
  </si>
  <si>
    <t>S4PD
SPS
XXX</t>
  </si>
  <si>
    <t>Pengekalan enrolmen murid dalam aliran sains tulen.</t>
  </si>
  <si>
    <t xml:space="preserve">1. Pelaksanaan program berkaitan kerjaya </t>
  </si>
  <si>
    <r>
      <rPr>
        <rFont val="Arial"/>
        <color theme="1"/>
        <sz val="11.0"/>
      </rPr>
      <t xml:space="preserve">TS1 S1 I2 KPI2
</t>
    </r>
    <r>
      <rPr>
        <rFont val="Arial"/>
        <color theme="1"/>
        <sz val="8.0"/>
      </rPr>
      <t>45% guru Bahasa Melayu yang menduduki Ujian Penguasaan Bahasa Melayu Guru (UPBMG) mencapai Tahap 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</si>
</sst>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&quot;/&quot;mm&quot;/&quot;yyyy"/>
    <numFmt numFmtId="165" formatCode="dd/mm/yyyy"/>
    <numFmt numFmtId="166" formatCode="d/m/yyyy"/>
    <numFmt numFmtId="167" formatCode="d mmmm yyyy"/>
    <numFmt numFmtId="168" formatCode="mmm yyyy"/>
    <numFmt numFmtId="169" formatCode="mmmm yyyy"/>
    <numFmt numFmtId="170" formatCode="[$£-809]#,##0.00"/>
    <numFmt numFmtId="171" formatCode="d mmm yyyy"/>
  </numFmts>
  <fonts count="32">
    <font>
      <sz val="10.0"/>
      <color rgb="FF000000"/>
      <name val="Arial"/>
      <scheme val="minor"/>
    </font>
    <font>
      <b/>
      <u/>
      <sz val="14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strike/>
      <sz val="10.0"/>
      <color theme="1"/>
      <name val="Arial"/>
    </font>
    <font>
      <strike/>
      <sz val="10.0"/>
      <color rgb="FF000000"/>
      <name val="Arial"/>
    </font>
    <font/>
    <font>
      <strike/>
      <sz val="10.0"/>
      <color rgb="FFFF0000"/>
      <name val="Arial"/>
    </font>
    <font>
      <b/>
      <u/>
      <sz val="14.0"/>
      <color theme="1"/>
      <name val="Arial"/>
    </font>
    <font>
      <color theme="1"/>
      <name val="Arial"/>
    </font>
    <font>
      <b/>
      <sz val="11.0"/>
      <color theme="1"/>
      <name val="Arial"/>
    </font>
    <font>
      <b/>
      <i/>
      <sz val="11.0"/>
      <color theme="1"/>
      <name val="Arial"/>
    </font>
    <font>
      <sz val="11.0"/>
      <color theme="1"/>
      <name val="Arial"/>
    </font>
    <font>
      <strike/>
      <sz val="11.0"/>
      <color theme="1"/>
      <name val="Arial"/>
    </font>
    <font>
      <strike/>
      <sz val="12.0"/>
      <color theme="1"/>
      <name val="Arial"/>
    </font>
    <font>
      <strike/>
      <color theme="1"/>
      <name val="Arial"/>
    </font>
    <font>
      <strike/>
      <sz val="11.0"/>
      <color rgb="FFFF0000"/>
      <name val="Arial"/>
    </font>
    <font>
      <sz val="11.0"/>
      <color rgb="FF000000"/>
      <name val="Arial"/>
    </font>
    <font>
      <b/>
      <strike/>
      <sz val="11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u/>
      <sz val="10.0"/>
      <color theme="1"/>
      <name val="Arial"/>
    </font>
    <font>
      <b/>
      <u/>
      <sz val="14.0"/>
      <color theme="1"/>
      <name val="Arial"/>
    </font>
    <font>
      <strike/>
      <sz val="11.0"/>
      <color rgb="FF000000"/>
      <name val="Arial"/>
    </font>
    <font>
      <sz val="12.0"/>
      <color theme="1"/>
      <name val="Arial"/>
    </font>
    <font>
      <sz val="12.0"/>
      <color rgb="FFFF0000"/>
      <name val="Arial"/>
    </font>
    <font>
      <sz val="11.0"/>
      <color rgb="FFFF0000"/>
      <name val="Arial"/>
    </font>
    <font>
      <color rgb="FFFF0000"/>
      <name val="Arial"/>
    </font>
    <font>
      <b/>
      <u/>
      <sz val="14.0"/>
      <color theme="1"/>
      <name val="Arial"/>
    </font>
    <font>
      <sz val="1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left" readingOrder="0" shrinkToFit="0" vertical="center" wrapText="1"/>
    </xf>
    <xf borderId="1" fillId="3" fontId="6" numFmtId="164" xfId="0" applyAlignment="1" applyBorder="1" applyFont="1" applyNumberFormat="1">
      <alignment horizontal="center" readingOrder="0" shrinkToFit="0" vertical="center" wrapText="1"/>
    </xf>
    <xf borderId="1" fillId="0" fontId="6" numFmtId="3" xfId="0" applyAlignment="1" applyBorder="1" applyFont="1" applyNumberFormat="1">
      <alignment horizontal="center" shrinkToFit="0" vertical="center" wrapText="1"/>
    </xf>
    <xf borderId="1" fillId="3" fontId="6" numFmtId="4" xfId="0" applyAlignment="1" applyBorder="1" applyFont="1" applyNumberFormat="1">
      <alignment horizontal="center" shrinkToFit="0" vertical="center" wrapText="1"/>
    </xf>
    <xf borderId="1" fillId="3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3" fillId="0" fontId="8" numFmtId="0" xfId="0" applyBorder="1" applyFont="1"/>
    <xf borderId="2" fillId="3" fontId="7" numFmtId="0" xfId="0" applyAlignment="1" applyBorder="1" applyFont="1">
      <alignment horizontal="left" readingOrder="0" shrinkToFit="0" vertical="center" wrapText="1"/>
    </xf>
    <xf borderId="4" fillId="0" fontId="8" numFmtId="0" xfId="0" applyBorder="1" applyFont="1"/>
    <xf borderId="2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readingOrder="0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165" xfId="0" applyAlignment="1" applyBorder="1" applyFont="1" applyNumberFormat="1">
      <alignment shrinkToFit="0" vertical="center" wrapText="1"/>
    </xf>
    <xf borderId="1" fillId="4" fontId="2" numFmtId="166" xfId="0" applyAlignment="1" applyBorder="1" applyFont="1" applyNumberFormat="1">
      <alignment shrinkToFit="0" vertical="center" wrapText="1"/>
    </xf>
    <xf borderId="1" fillId="4" fontId="2" numFmtId="3" xfId="0" applyAlignment="1" applyBorder="1" applyFont="1" applyNumberFormat="1">
      <alignment horizontal="center" readingOrder="0" shrinkToFit="0" vertical="center" wrapText="1"/>
    </xf>
    <xf borderId="1" fillId="4" fontId="2" numFmtId="4" xfId="0" applyAlignment="1" applyBorder="1" applyFont="1" applyNumberFormat="1">
      <alignment readingOrder="0" shrinkToFit="0" vertical="center" wrapText="1"/>
    </xf>
    <xf borderId="2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2" fillId="4" fontId="2" numFmtId="4" xfId="0" applyAlignment="1" applyBorder="1" applyFont="1" applyNumberFormat="1">
      <alignment horizontal="center" readingOrder="0" shrinkToFit="0" vertical="center" wrapText="1"/>
    </xf>
    <xf borderId="1" fillId="4" fontId="2" numFmtId="164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readingOrder="0" shrinkToFit="0" vertical="center" wrapText="1"/>
    </xf>
    <xf borderId="1" fillId="3" fontId="6" numFmtId="4" xfId="0" applyAlignment="1" applyBorder="1" applyFont="1" applyNumberFormat="1">
      <alignment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3" fontId="6" numFmtId="167" xfId="0" applyAlignment="1" applyBorder="1" applyFont="1" applyNumberFormat="1">
      <alignment readingOrder="0" shrinkToFit="0" vertical="center" wrapText="1"/>
    </xf>
    <xf borderId="1" fillId="4" fontId="2" numFmtId="164" xfId="0" applyAlignment="1" applyBorder="1" applyFont="1" applyNumberFormat="1">
      <alignment shrinkToFit="0" vertical="center" wrapText="1"/>
    </xf>
    <xf borderId="1" fillId="4" fontId="2" numFmtId="4" xfId="0" applyAlignment="1" applyBorder="1" applyFont="1" applyNumberFormat="1">
      <alignment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2" fillId="3" fontId="7" numFmtId="0" xfId="0" applyAlignment="1" applyBorder="1" applyFont="1">
      <alignment shrinkToFit="0" vertical="center" wrapText="1"/>
    </xf>
    <xf borderId="2" fillId="3" fontId="7" numFmtId="0" xfId="0" applyAlignment="1" applyBorder="1" applyFont="1">
      <alignment readingOrder="0" shrinkToFit="0" vertical="center" wrapText="1"/>
    </xf>
    <xf borderId="2" fillId="3" fontId="9" numFmtId="0" xfId="0" applyAlignment="1" applyBorder="1" applyFont="1">
      <alignment horizontal="center" readingOrder="0" shrinkToFit="0" vertical="center" wrapText="1"/>
    </xf>
    <xf borderId="1" fillId="3" fontId="6" numFmtId="164" xfId="0" applyAlignment="1" applyBorder="1" applyFont="1" applyNumberFormat="1">
      <alignment horizontal="center" shrinkToFit="0" vertical="center" wrapText="1"/>
    </xf>
    <xf borderId="1" fillId="3" fontId="6" numFmtId="4" xfId="0" applyAlignment="1" applyBorder="1" applyFont="1" applyNumberFormat="1">
      <alignment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3" fontId="2" numFmtId="4" xfId="0" applyAlignment="1" applyFont="1" applyNumberForma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5" fontId="2" numFmtId="0" xfId="0" applyAlignment="1" applyFill="1" applyFont="1">
      <alignment horizontal="left" shrinkToFit="0" vertical="center" wrapText="1"/>
    </xf>
    <xf borderId="0" fillId="5" fontId="2" numFmtId="4" xfId="0" applyAlignment="1" applyFont="1" applyNumberFormat="1">
      <alignment horizontal="center" shrinkToFit="0" vertical="center" wrapText="1"/>
    </xf>
    <xf borderId="0" fillId="5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2" fillId="3" fontId="16" numFmtId="0" xfId="0" applyAlignment="1" applyBorder="1" applyFont="1">
      <alignment horizontal="center" shrinkToFit="0" vertical="center" wrapText="1"/>
    </xf>
    <xf borderId="2" fillId="3" fontId="15" numFmtId="0" xfId="0" applyAlignment="1" applyBorder="1" applyFont="1">
      <alignment shrinkToFit="0" vertical="center" wrapText="1"/>
    </xf>
    <xf borderId="2" fillId="3" fontId="15" numFmtId="0" xfId="0" applyAlignment="1" applyBorder="1" applyFont="1">
      <alignment readingOrder="0" shrinkToFit="0" vertical="center" wrapText="1"/>
    </xf>
    <xf borderId="2" fillId="3" fontId="15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ont="1">
      <alignment readingOrder="0" shrinkToFit="0" vertical="center" wrapText="1"/>
    </xf>
    <xf borderId="2" fillId="3" fontId="15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readingOrder="0" shrinkToFit="0" vertical="center" wrapText="1"/>
    </xf>
    <xf borderId="1" fillId="3" fontId="15" numFmtId="164" xfId="0" applyAlignment="1" applyBorder="1" applyFont="1" applyNumberFormat="1">
      <alignment horizontal="center" readingOrder="0" shrinkToFit="0" vertical="center" wrapText="1"/>
    </xf>
    <xf borderId="1" fillId="3" fontId="15" numFmtId="164" xfId="0" applyAlignment="1" applyBorder="1" applyFont="1" applyNumberFormat="1">
      <alignment horizontal="center" shrinkToFit="0" vertical="center" wrapText="1"/>
    </xf>
    <xf borderId="1" fillId="0" fontId="15" numFmtId="3" xfId="0" applyAlignment="1" applyBorder="1" applyFont="1" applyNumberFormat="1">
      <alignment horizontal="center" shrinkToFit="0" vertical="center" wrapText="1"/>
    </xf>
    <xf borderId="1" fillId="3" fontId="15" numFmtId="4" xfId="0" applyAlignment="1" applyBorder="1" applyFont="1" applyNumberFormat="1">
      <alignment horizontal="center" shrinkToFit="0" vertical="center" wrapText="1"/>
    </xf>
    <xf borderId="1" fillId="3" fontId="17" numFmtId="0" xfId="0" applyAlignment="1" applyBorder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1" fillId="3" fontId="15" numFmtId="0" xfId="0" applyAlignment="1" applyBorder="1" applyFont="1">
      <alignment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1" fillId="3" fontId="17" numFmtId="0" xfId="0" applyAlignment="1" applyBorder="1" applyFont="1">
      <alignment horizontal="center" readingOrder="0" shrinkToFit="0" vertical="center" wrapText="1"/>
    </xf>
    <xf borderId="2" fillId="3" fontId="17" numFmtId="0" xfId="0" applyAlignment="1" applyBorder="1" applyFont="1">
      <alignment shrinkToFit="0" vertical="center" wrapText="1"/>
    </xf>
    <xf borderId="2" fillId="3" fontId="15" numFmtId="9" xfId="0" applyAlignment="1" applyBorder="1" applyFont="1" applyNumberFormat="1">
      <alignment horizontal="center" shrinkToFit="0" vertical="center" wrapText="1"/>
    </xf>
    <xf borderId="1" fillId="3" fontId="17" numFmtId="4" xfId="0" applyAlignment="1" applyBorder="1" applyFont="1" applyNumberFormat="1">
      <alignment shrinkToFit="0" vertical="center" wrapText="1"/>
    </xf>
    <xf borderId="0" fillId="3" fontId="17" numFmtId="0" xfId="0" applyAlignment="1" applyFont="1">
      <alignment horizontal="center" shrinkToFit="0" vertical="center" wrapText="1"/>
    </xf>
    <xf borderId="1" fillId="3" fontId="15" numFmtId="4" xfId="0" applyAlignment="1" applyBorder="1" applyFont="1" applyNumberFormat="1">
      <alignment shrinkToFit="0" vertical="center" wrapText="1"/>
    </xf>
    <xf borderId="0" fillId="3" fontId="15" numFmtId="0" xfId="0" applyAlignment="1" applyFont="1">
      <alignment shrinkToFit="0" vertical="center" wrapText="1"/>
    </xf>
    <xf borderId="1" fillId="3" fontId="18" numFmtId="0" xfId="0" applyAlignment="1" applyBorder="1" applyFont="1">
      <alignment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readingOrder="0" shrinkToFit="0" vertical="top" wrapText="1"/>
    </xf>
    <xf borderId="1" fillId="4" fontId="11" numFmtId="10" xfId="0" applyAlignment="1" applyBorder="1" applyFont="1" applyNumberFormat="1">
      <alignment horizontal="center" shrinkToFit="0" vertical="top" wrapText="1"/>
    </xf>
    <xf borderId="1" fillId="4" fontId="2" numFmtId="0" xfId="0" applyAlignment="1" applyBorder="1" applyFont="1">
      <alignment horizontal="left" readingOrder="0" shrinkToFit="0" vertical="top" wrapText="1"/>
    </xf>
    <xf borderId="1" fillId="4" fontId="11" numFmtId="164" xfId="0" applyAlignment="1" applyBorder="1" applyFont="1" applyNumberFormat="1">
      <alignment horizontal="center" shrinkToFit="0" vertical="center" wrapText="1"/>
    </xf>
    <xf borderId="1" fillId="4" fontId="14" numFmtId="3" xfId="0" applyAlignment="1" applyBorder="1" applyFont="1" applyNumberFormat="1">
      <alignment horizontal="center" readingOrder="0" shrinkToFit="0" vertical="center" wrapText="1"/>
    </xf>
    <xf borderId="1" fillId="4" fontId="14" numFmtId="4" xfId="0" applyAlignment="1" applyBorder="1" applyFont="1" applyNumberFormat="1">
      <alignment horizontal="center" shrinkToFit="0" vertical="center" wrapText="1"/>
    </xf>
    <xf borderId="1" fillId="4" fontId="11" numFmtId="0" xfId="0" applyAlignment="1" applyBorder="1" applyFont="1">
      <alignment readingOrder="0" shrinkToFit="0" vertical="center" wrapText="1"/>
    </xf>
    <xf borderId="1" fillId="4" fontId="11" numFmtId="0" xfId="0" applyAlignment="1" applyBorder="1" applyFont="1">
      <alignment shrinkToFit="0" vertical="center" wrapText="1"/>
    </xf>
    <xf borderId="0" fillId="2" fontId="11" numFmtId="0" xfId="0" applyAlignment="1" applyFont="1">
      <alignment shrinkToFit="0" vertical="center" wrapText="1"/>
    </xf>
    <xf borderId="2" fillId="4" fontId="14" numFmtId="0" xfId="0" applyAlignment="1" applyBorder="1" applyFont="1">
      <alignment horizontal="center" shrinkToFit="0" vertical="center" wrapText="1"/>
    </xf>
    <xf borderId="2" fillId="4" fontId="14" numFmtId="0" xfId="0" applyAlignment="1" applyBorder="1" applyFont="1">
      <alignment shrinkToFit="0" vertical="center" wrapText="1"/>
    </xf>
    <xf borderId="2" fillId="4" fontId="14" numFmtId="0" xfId="0" applyAlignment="1" applyBorder="1" applyFont="1">
      <alignment readingOrder="0" shrinkToFit="0" vertical="center" wrapText="1"/>
    </xf>
    <xf borderId="2" fillId="4" fontId="14" numFmtId="10" xfId="0" applyAlignment="1" applyBorder="1" applyFont="1" applyNumberFormat="1">
      <alignment horizontal="center" readingOrder="0" shrinkToFit="0" vertical="center" wrapText="1"/>
    </xf>
    <xf borderId="2" fillId="4" fontId="11" numFmtId="0" xfId="0" applyAlignment="1" applyBorder="1" applyFont="1">
      <alignment shrinkToFit="0" vertical="top" wrapText="1"/>
    </xf>
    <xf borderId="1" fillId="4" fontId="11" numFmtId="0" xfId="0" applyAlignment="1" applyBorder="1" applyFont="1">
      <alignment shrinkToFit="0" vertical="top" wrapText="1"/>
    </xf>
    <xf borderId="1" fillId="4" fontId="11" numFmtId="168" xfId="0" applyAlignment="1" applyBorder="1" applyFont="1" applyNumberFormat="1">
      <alignment horizontal="center" shrinkToFit="0" vertical="top" wrapText="1"/>
    </xf>
    <xf borderId="1" fillId="4" fontId="11" numFmtId="3" xfId="0" applyAlignment="1" applyBorder="1" applyFont="1" applyNumberFormat="1">
      <alignment horizontal="center" shrinkToFit="0" vertical="top" wrapText="1"/>
    </xf>
    <xf borderId="1" fillId="4" fontId="14" numFmtId="4" xfId="0" applyAlignment="1" applyBorder="1" applyFont="1" applyNumberFormat="1">
      <alignment shrinkToFit="0" vertical="center" wrapText="1"/>
    </xf>
    <xf borderId="1" fillId="4" fontId="11" numFmtId="164" xfId="0" applyAlignment="1" applyBorder="1" applyFont="1" applyNumberFormat="1">
      <alignment horizontal="center" shrinkToFit="0" vertical="top" wrapText="1"/>
    </xf>
    <xf borderId="1" fillId="4" fontId="14" numFmtId="4" xfId="0" applyAlignment="1" applyBorder="1" applyFont="1" applyNumberFormat="1">
      <alignment readingOrder="0" shrinkToFit="0" vertical="center" wrapText="1"/>
    </xf>
    <xf borderId="1" fillId="4" fontId="11" numFmtId="0" xfId="0" applyAlignment="1" applyBorder="1" applyFont="1">
      <alignment shrinkToFit="0" vertical="top" wrapText="1"/>
    </xf>
    <xf borderId="1" fillId="4" fontId="11" numFmtId="169" xfId="0" applyAlignment="1" applyBorder="1" applyFont="1" applyNumberFormat="1">
      <alignment horizontal="center" shrinkToFit="0" vertical="top" wrapText="1"/>
    </xf>
    <xf borderId="1" fillId="4" fontId="14" numFmtId="170" xfId="0" applyAlignment="1" applyBorder="1" applyFont="1" applyNumberFormat="1">
      <alignment horizontal="center" shrinkToFit="0" vertical="center" wrapText="1"/>
    </xf>
    <xf borderId="2" fillId="4" fontId="19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shrinkToFit="0" vertical="top" wrapText="1"/>
    </xf>
    <xf borderId="1" fillId="4" fontId="14" numFmtId="164" xfId="0" applyAlignment="1" applyBorder="1" applyFont="1" applyNumberFormat="1">
      <alignment horizontal="center" shrinkToFit="0" vertical="top" wrapText="1"/>
    </xf>
    <xf borderId="1" fillId="4" fontId="14" numFmtId="3" xfId="0" applyAlignment="1" applyBorder="1" applyFont="1" applyNumberFormat="1">
      <alignment horizontal="center" shrinkToFit="0" vertical="top" wrapText="1"/>
    </xf>
    <xf borderId="5" fillId="3" fontId="15" numFmtId="0" xfId="0" applyAlignment="1" applyBorder="1" applyFont="1">
      <alignment shrinkToFit="0" vertical="center" wrapText="1"/>
    </xf>
    <xf borderId="1" fillId="3" fontId="17" numFmtId="3" xfId="0" applyAlignment="1" applyBorder="1" applyFont="1" applyNumberFormat="1">
      <alignment horizontal="center" readingOrder="0" shrinkToFit="0" vertical="center" wrapText="1"/>
    </xf>
    <xf borderId="1" fillId="3" fontId="15" numFmtId="4" xfId="0" applyAlignment="1" applyBorder="1" applyFont="1" applyNumberFormat="1">
      <alignment horizontal="center" readingOrder="0" shrinkToFit="0" vertical="center" wrapText="1"/>
    </xf>
    <xf borderId="1" fillId="3" fontId="20" numFmtId="0" xfId="0" applyAlignment="1" applyBorder="1" applyFont="1">
      <alignment readingOrder="0" shrinkToFit="0" vertical="center" wrapText="1"/>
    </xf>
    <xf borderId="0" fillId="2" fontId="17" numFmtId="0" xfId="0" applyAlignment="1" applyFont="1">
      <alignment shrinkToFit="0" vertical="center" wrapText="1"/>
    </xf>
    <xf borderId="1" fillId="3" fontId="15" numFmtId="3" xfId="0" applyAlignment="1" applyBorder="1" applyFont="1" applyNumberFormat="1">
      <alignment horizontal="center" readingOrder="0" shrinkToFit="0" vertical="center" wrapText="1"/>
    </xf>
    <xf borderId="1" fillId="3" fontId="20" numFmtId="0" xfId="0" applyAlignment="1" applyBorder="1" applyFont="1">
      <alignment shrinkToFit="0" vertical="center" wrapText="1"/>
    </xf>
    <xf borderId="2" fillId="2" fontId="14" numFmtId="0" xfId="0" applyAlignment="1" applyBorder="1" applyFont="1">
      <alignment horizontal="center" shrinkToFit="0" vertical="center" wrapText="1"/>
    </xf>
    <xf borderId="2" fillId="4" fontId="14" numFmtId="0" xfId="0" applyAlignment="1" applyBorder="1" applyFont="1">
      <alignment horizontal="center" readingOrder="0" shrinkToFit="0" vertical="center" wrapText="1"/>
    </xf>
    <xf borderId="1" fillId="4" fontId="14" numFmtId="164" xfId="0" applyAlignment="1" applyBorder="1" applyFont="1" applyNumberFormat="1">
      <alignment horizontal="center" shrinkToFit="0" vertical="center" wrapText="1"/>
    </xf>
    <xf borderId="1" fillId="4" fontId="14" numFmtId="3" xfId="0" applyAlignment="1" applyBorder="1" applyFont="1" applyNumberFormat="1">
      <alignment horizontal="center" shrinkToFit="0" vertical="center" wrapText="1"/>
    </xf>
    <xf borderId="2" fillId="3" fontId="15" numFmtId="164" xfId="0" applyAlignment="1" applyBorder="1" applyFont="1" applyNumberFormat="1">
      <alignment horizontal="center" shrinkToFit="0" vertical="center" wrapText="1"/>
    </xf>
    <xf borderId="2" fillId="3" fontId="15" numFmtId="3" xfId="0" applyAlignment="1" applyBorder="1" applyFont="1" applyNumberFormat="1">
      <alignment horizontal="center" shrinkToFit="0" vertical="center" wrapText="1"/>
    </xf>
    <xf borderId="1" fillId="3" fontId="17" numFmtId="164" xfId="0" applyAlignment="1" applyBorder="1" applyFont="1" applyNumberFormat="1">
      <alignment shrinkToFit="0" vertical="center" wrapText="1"/>
    </xf>
    <xf borderId="1" fillId="3" fontId="15" numFmtId="3" xfId="0" applyAlignment="1" applyBorder="1" applyFont="1" applyNumberFormat="1">
      <alignment horizontal="center" shrinkToFit="0" vertical="center" wrapText="1"/>
    </xf>
    <xf borderId="1" fillId="3" fontId="15" numFmtId="170" xfId="0" applyAlignment="1" applyBorder="1" applyFont="1" applyNumberFormat="1">
      <alignment shrinkToFit="0" vertical="center" wrapText="1"/>
    </xf>
    <xf borderId="1" fillId="3" fontId="15" numFmtId="170" xfId="0" applyAlignment="1" applyBorder="1" applyFont="1" applyNumberFormat="1">
      <alignment horizontal="center" shrinkToFit="0" vertical="center" wrapText="1"/>
    </xf>
    <xf borderId="2" fillId="3" fontId="15" numFmtId="4" xfId="0" applyAlignment="1" applyBorder="1" applyFont="1" applyNumberFormat="1">
      <alignment horizontal="center" shrinkToFit="0" vertical="center" wrapText="1"/>
    </xf>
    <xf borderId="1" fillId="3" fontId="15" numFmtId="9" xfId="0" applyAlignment="1" applyBorder="1" applyFont="1" applyNumberFormat="1">
      <alignment horizontal="center" shrinkToFit="0" vertical="center" wrapText="1"/>
    </xf>
    <xf borderId="2" fillId="4" fontId="11" numFmtId="0" xfId="0" applyAlignment="1" applyBorder="1" applyFont="1">
      <alignment shrinkToFit="0" vertical="center" wrapText="1"/>
    </xf>
    <xf borderId="2" fillId="4" fontId="14" numFmtId="9" xfId="0" applyAlignment="1" applyBorder="1" applyFont="1" applyNumberFormat="1">
      <alignment horizontal="center" readingOrder="0" shrinkToFit="0" vertical="center" wrapText="1"/>
    </xf>
    <xf borderId="1" fillId="4" fontId="11" numFmtId="0" xfId="0" applyAlignment="1" applyBorder="1" applyFont="1">
      <alignment horizontal="center" shrinkToFit="0" vertical="top" wrapText="1"/>
    </xf>
    <xf borderId="1" fillId="4" fontId="14" numFmtId="170" xfId="0" applyAlignment="1" applyBorder="1" applyFont="1" applyNumberFormat="1">
      <alignment shrinkToFit="0" vertical="center" wrapText="1"/>
    </xf>
    <xf borderId="2" fillId="4" fontId="11" numFmtId="0" xfId="0" applyAlignment="1" applyBorder="1" applyFont="1">
      <alignment horizontal="center" readingOrder="0" shrinkToFit="0" vertical="center" wrapText="1"/>
    </xf>
    <xf borderId="2" fillId="4" fontId="11" numFmtId="0" xfId="0" applyAlignment="1" applyBorder="1" applyFont="1">
      <alignment readingOrder="0" shrinkToFit="0" vertical="center" wrapText="1"/>
    </xf>
    <xf borderId="2" fillId="4" fontId="11" numFmtId="0" xfId="0" applyAlignment="1" applyBorder="1" applyFont="1">
      <alignment shrinkToFit="0" vertical="center" wrapText="1"/>
    </xf>
    <xf borderId="2" fillId="4" fontId="11" numFmtId="0" xfId="0" applyAlignment="1" applyBorder="1" applyFont="1">
      <alignment horizontal="center" shrinkToFit="0" vertical="center" wrapText="1"/>
    </xf>
    <xf borderId="1" fillId="4" fontId="11" numFmtId="3" xfId="0" applyAlignment="1" applyBorder="1" applyFont="1" applyNumberFormat="1">
      <alignment horizontal="center" shrinkToFit="0" vertical="center" wrapText="1"/>
    </xf>
    <xf borderId="1" fillId="4" fontId="11" numFmtId="4" xfId="0" applyAlignment="1" applyBorder="1" applyFont="1" applyNumberFormat="1">
      <alignment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0" fillId="2" fontId="11" numFmtId="0" xfId="0" applyAlignment="1" applyFont="1">
      <alignment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2" fillId="4" fontId="14" numFmtId="0" xfId="0" applyAlignment="1" applyBorder="1" applyFont="1">
      <alignment shrinkToFit="0" vertical="center" wrapText="1"/>
    </xf>
    <xf borderId="3" fillId="4" fontId="11" numFmtId="0" xfId="0" applyAlignment="1" applyBorder="1" applyFont="1">
      <alignment readingOrder="0" shrinkToFit="0" vertical="center" wrapText="1"/>
    </xf>
    <xf borderId="1" fillId="4" fontId="21" numFmtId="0" xfId="0" applyBorder="1" applyFont="1"/>
    <xf borderId="1" fillId="4" fontId="22" numFmtId="0" xfId="0" applyAlignment="1" applyBorder="1" applyFont="1">
      <alignment shrinkToFit="0" vertical="center" wrapText="1"/>
    </xf>
    <xf borderId="2" fillId="4" fontId="11" numFmtId="0" xfId="0" applyAlignment="1" applyBorder="1" applyFont="1">
      <alignment readingOrder="0" shrinkToFit="0" vertical="top" wrapText="1"/>
    </xf>
    <xf borderId="2" fillId="4" fontId="2" numFmtId="0" xfId="0" applyAlignment="1" applyBorder="1" applyFont="1">
      <alignment readingOrder="0" shrinkToFit="0" vertical="top" wrapText="1"/>
    </xf>
    <xf borderId="2" fillId="4" fontId="11" numFmtId="10" xfId="0" applyAlignment="1" applyBorder="1" applyFont="1" applyNumberFormat="1">
      <alignment horizontal="center" shrinkToFit="0" vertical="top" wrapText="1"/>
    </xf>
    <xf borderId="2" fillId="4" fontId="11" numFmtId="10" xfId="0" applyAlignment="1" applyBorder="1" applyFont="1" applyNumberFormat="1">
      <alignment horizontal="center" readingOrder="0" shrinkToFit="0" vertical="center" wrapText="1"/>
    </xf>
    <xf borderId="1" fillId="4" fontId="11" numFmtId="171" xfId="0" applyAlignment="1" applyBorder="1" applyFont="1" applyNumberFormat="1">
      <alignment horizontal="center" shrinkToFit="0" vertical="top" wrapText="1"/>
    </xf>
    <xf borderId="1" fillId="4" fontId="14" numFmtId="0" xfId="0" applyAlignment="1" applyBorder="1" applyFont="1">
      <alignment shrinkToFit="0" vertical="center" wrapText="1"/>
    </xf>
    <xf borderId="1" fillId="4" fontId="11" numFmtId="9" xfId="0" applyAlignment="1" applyBorder="1" applyFont="1" applyNumberFormat="1">
      <alignment horizontal="center" shrinkToFit="0" vertical="center" wrapText="1"/>
    </xf>
    <xf borderId="1" fillId="4" fontId="11" numFmtId="0" xfId="0" applyAlignment="1" applyBorder="1" applyFont="1">
      <alignment vertical="top"/>
    </xf>
    <xf borderId="1" fillId="4" fontId="14" numFmtId="0" xfId="0" applyAlignment="1" applyBorder="1" applyFont="1">
      <alignment readingOrder="0" shrinkToFit="0" vertical="top" wrapText="1"/>
    </xf>
    <xf borderId="1" fillId="4" fontId="11" numFmtId="0" xfId="0" applyAlignment="1" applyBorder="1" applyFont="1">
      <alignment horizontal="center" shrinkToFit="0" wrapText="1"/>
    </xf>
    <xf borderId="1" fillId="4" fontId="11" numFmtId="9" xfId="0" applyAlignment="1" applyBorder="1" applyFont="1" applyNumberFormat="1">
      <alignment horizontal="center" shrinkToFit="0" vertical="top" wrapText="1"/>
    </xf>
    <xf borderId="1" fillId="4" fontId="14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23" numFmtId="0" xfId="0" applyAlignment="1" applyFont="1">
      <alignment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3" numFmtId="164" xfId="0" applyAlignment="1" applyBorder="1" applyFont="1" applyNumberFormat="1">
      <alignment horizontal="center" shrinkToFit="0" vertical="center" wrapText="1"/>
    </xf>
    <xf borderId="1" fillId="4" fontId="3" numFmtId="3" xfId="0" applyAlignment="1" applyBorder="1" applyFont="1" applyNumberFormat="1">
      <alignment horizontal="center" shrinkToFit="0" vertical="center" wrapText="1"/>
    </xf>
    <xf borderId="1" fillId="4" fontId="3" numFmtId="4" xfId="0" applyAlignment="1" applyBorder="1" applyFont="1" applyNumberFormat="1">
      <alignment shrinkToFit="0" vertical="center" wrapText="1"/>
    </xf>
    <xf borderId="0" fillId="4" fontId="3" numFmtId="0" xfId="0" applyAlignment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2" numFmtId="9" xfId="0" applyAlignment="1" applyBorder="1" applyFont="1" applyNumberFormat="1">
      <alignment shrinkToFit="0" vertical="center" wrapText="1"/>
    </xf>
    <xf borderId="1" fillId="3" fontId="2" numFmtId="164" xfId="0" applyAlignment="1" applyBorder="1" applyFont="1" applyNumberFormat="1">
      <alignment shrinkToFit="0" vertical="center" wrapText="1"/>
    </xf>
    <xf borderId="1" fillId="0" fontId="2" numFmtId="3" xfId="0" applyAlignment="1" applyBorder="1" applyFont="1" applyNumberFormat="1">
      <alignment shrinkToFit="0" vertical="center" wrapText="1"/>
    </xf>
    <xf borderId="1" fillId="3" fontId="2" numFmtId="4" xfId="0" applyAlignment="1" applyBorder="1" applyFont="1" applyNumberFormat="1">
      <alignment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1" fillId="3" fontId="2" numFmtId="4" xfId="0" applyAlignment="1" applyBorder="1" applyFont="1" applyNumberFormat="1">
      <alignment horizontal="right" shrinkToFit="0" vertical="center" wrapText="1"/>
    </xf>
    <xf borderId="1" fillId="3" fontId="9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3" fontId="6" numFmtId="9" xfId="0" applyAlignment="1" applyBorder="1" applyFont="1" applyNumberFormat="1">
      <alignment shrinkToFit="0" vertical="center" wrapText="1"/>
    </xf>
    <xf borderId="1" fillId="3" fontId="6" numFmtId="164" xfId="0" applyAlignment="1" applyBorder="1" applyFont="1" applyNumberFormat="1">
      <alignment shrinkToFit="0" vertical="center" wrapText="1"/>
    </xf>
    <xf borderId="1" fillId="0" fontId="6" numFmtId="3" xfId="0" applyAlignment="1" applyBorder="1" applyFont="1" applyNumberFormat="1">
      <alignment shrinkToFit="0" vertical="center" wrapText="1"/>
    </xf>
    <xf borderId="2" fillId="3" fontId="6" numFmtId="4" xfId="0" applyAlignment="1" applyBorder="1" applyFont="1" applyNumberFormat="1">
      <alignment horizontal="center" shrinkToFit="0" vertical="center" wrapText="1"/>
    </xf>
    <xf borderId="4" fillId="3" fontId="6" numFmtId="0" xfId="0" applyAlignment="1" applyBorder="1" applyFont="1">
      <alignment shrinkToFit="0" vertical="center" wrapText="1"/>
    </xf>
    <xf borderId="1" fillId="3" fontId="2" numFmtId="4" xfId="0" applyAlignment="1" applyBorder="1" applyFont="1" applyNumberForma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shrinkToFit="0" vertical="center" wrapText="1"/>
    </xf>
    <xf borderId="2" fillId="4" fontId="3" numFmtId="0" xfId="0" applyAlignment="1" applyBorder="1" applyFont="1">
      <alignment readingOrder="0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shrinkToFit="0" wrapText="1"/>
    </xf>
    <xf borderId="2" fillId="3" fontId="9" numFmtId="0" xfId="0" applyAlignment="1" applyBorder="1" applyFont="1">
      <alignment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3" xfId="0" applyAlignment="1" applyBorder="1" applyFont="1" applyNumberFormat="1">
      <alignment horizontal="center" readingOrder="0" shrinkToFit="0" vertical="center" wrapText="1"/>
    </xf>
    <xf borderId="0" fillId="4" fontId="2" numFmtId="0" xfId="0" applyAlignment="1" applyFont="1">
      <alignment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3" fontId="2" numFmtId="9" xfId="0" applyAlignment="1" applyBorder="1" applyFont="1" applyNumberFormat="1">
      <alignment shrinkToFit="0" vertical="center" wrapText="1"/>
    </xf>
    <xf borderId="1" fillId="3" fontId="2" numFmtId="165" xfId="0" applyAlignment="1" applyBorder="1" applyFont="1" applyNumberFormat="1">
      <alignment shrinkToFit="0" vertical="center" wrapText="1"/>
    </xf>
    <xf borderId="2" fillId="4" fontId="3" numFmtId="9" xfId="0" applyAlignment="1" applyBorder="1" applyFont="1" applyNumberFormat="1">
      <alignment horizontal="center" shrinkToFit="0" vertical="center" wrapText="1"/>
    </xf>
    <xf borderId="1" fillId="4" fontId="2" numFmtId="164" xfId="0" applyAlignment="1" applyBorder="1" applyFont="1" applyNumberFormat="1">
      <alignment horizontal="center" shrinkToFit="0" vertical="center" wrapText="1"/>
    </xf>
    <xf borderId="1" fillId="4" fontId="2" numFmtId="165" xfId="0" applyAlignment="1" applyBorder="1" applyFont="1" applyNumberFormat="1">
      <alignment horizontal="center" shrinkToFit="0" vertical="center" wrapText="1"/>
    </xf>
    <xf borderId="1" fillId="4" fontId="2" numFmtId="3" xfId="0" applyAlignment="1" applyBorder="1" applyFont="1" applyNumberFormat="1">
      <alignment horizontal="center" shrinkToFit="0" vertical="center" wrapText="1"/>
    </xf>
    <xf borderId="0" fillId="4" fontId="4" numFmtId="0" xfId="0" applyAlignment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2" fillId="3" fontId="6" numFmtId="9" xfId="0" applyAlignment="1" applyBorder="1" applyFont="1" applyNumberFormat="1">
      <alignment horizontal="center" shrinkToFit="0" vertical="center" wrapText="1"/>
    </xf>
    <xf borderId="1" fillId="3" fontId="6" numFmtId="4" xfId="0" applyAlignment="1" applyBorder="1" applyFont="1" applyNumberFormat="1">
      <alignment horizontal="right" shrinkToFit="0" vertical="center" wrapText="1"/>
    </xf>
    <xf borderId="1" fillId="3" fontId="6" numFmtId="0" xfId="0" applyAlignment="1" applyBorder="1" applyFont="1">
      <alignment horizontal="right" shrinkToFit="0" vertical="center" wrapText="1"/>
    </xf>
    <xf borderId="0" fillId="3" fontId="6" numFmtId="0" xfId="0" applyAlignment="1" applyFont="1">
      <alignment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0" fontId="7" numFmtId="3" xfId="0" applyAlignment="1" applyBorder="1" applyFont="1" applyNumberFormat="1">
      <alignment horizontal="center" readingOrder="0" shrinkToFit="0" vertical="center" wrapText="1"/>
    </xf>
    <xf borderId="1" fillId="3" fontId="7" numFmtId="4" xfId="0" applyAlignment="1" applyBorder="1" applyFont="1" applyNumberFormat="1">
      <alignment readingOrder="0"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6" fillId="4" fontId="2" numFmtId="9" xfId="0" applyAlignment="1" applyBorder="1" applyFont="1" applyNumberFormat="1">
      <alignment horizontal="center" shrinkToFit="0" vertical="center" wrapText="1"/>
    </xf>
    <xf borderId="6" fillId="4" fontId="2" numFmtId="0" xfId="0" applyAlignment="1" applyBorder="1" applyFont="1">
      <alignment shrinkToFit="0" vertical="center" wrapText="1"/>
    </xf>
    <xf borderId="1" fillId="4" fontId="2" numFmtId="168" xfId="0" applyAlignment="1" applyBorder="1" applyFont="1" applyNumberFormat="1">
      <alignment horizontal="center" shrinkToFit="0" vertical="center" wrapText="1"/>
    </xf>
    <xf borderId="1" fillId="4" fontId="2" numFmtId="169" xfId="0" applyAlignment="1" applyBorder="1" applyFont="1" applyNumberFormat="1">
      <alignment horizontal="center" shrinkToFit="0" vertical="center" wrapText="1"/>
    </xf>
    <xf borderId="7" fillId="0" fontId="8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24" numFmtId="0" xfId="0" applyAlignment="1" applyFont="1">
      <alignment readingOrder="0" vertical="top"/>
    </xf>
    <xf borderId="0" fillId="0" fontId="11" numFmtId="0" xfId="0" applyAlignment="1" applyFont="1">
      <alignment vertical="top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center"/>
    </xf>
    <xf borderId="2" fillId="0" fontId="15" numFmtId="0" xfId="0" applyAlignment="1" applyBorder="1" applyFont="1">
      <alignment horizontal="center" shrinkToFit="0" vertical="top" wrapText="1"/>
    </xf>
    <xf borderId="2" fillId="3" fontId="15" numFmtId="0" xfId="0" applyAlignment="1" applyBorder="1" applyFont="1">
      <alignment horizontal="center" shrinkToFit="0" vertical="top" wrapText="1"/>
    </xf>
    <xf borderId="2" fillId="3" fontId="15" numFmtId="0" xfId="0" applyAlignment="1" applyBorder="1" applyFont="1">
      <alignment shrinkToFit="0" vertical="top" wrapText="1"/>
    </xf>
    <xf borderId="2" fillId="3" fontId="17" numFmtId="0" xfId="0" applyAlignment="1" applyBorder="1" applyFont="1">
      <alignment vertical="top"/>
    </xf>
    <xf borderId="2" fillId="3" fontId="15" numFmtId="9" xfId="0" applyAlignment="1" applyBorder="1" applyFont="1" applyNumberFormat="1">
      <alignment horizontal="center" shrinkToFit="0" vertical="top" wrapText="1"/>
    </xf>
    <xf borderId="1" fillId="3" fontId="15" numFmtId="0" xfId="0" applyAlignment="1" applyBorder="1" applyFont="1">
      <alignment shrinkToFit="0" vertical="top" wrapText="1"/>
    </xf>
    <xf borderId="1" fillId="3" fontId="15" numFmtId="0" xfId="0" applyAlignment="1" applyBorder="1" applyFont="1">
      <alignment horizontal="center" shrinkToFit="0" vertical="top" wrapText="1"/>
    </xf>
    <xf borderId="1" fillId="3" fontId="17" numFmtId="0" xfId="0" applyAlignment="1" applyBorder="1" applyFont="1">
      <alignment vertical="top"/>
    </xf>
    <xf borderId="1" fillId="3" fontId="15" numFmtId="164" xfId="0" applyAlignment="1" applyBorder="1" applyFont="1" applyNumberFormat="1">
      <alignment horizontal="center" shrinkToFit="0" vertical="top" wrapText="1"/>
    </xf>
    <xf borderId="1" fillId="0" fontId="15" numFmtId="3" xfId="0" applyAlignment="1" applyBorder="1" applyFont="1" applyNumberFormat="1">
      <alignment horizontal="center" shrinkToFit="0" vertical="top" wrapText="1"/>
    </xf>
    <xf borderId="1" fillId="3" fontId="15" numFmtId="4" xfId="0" applyAlignment="1" applyBorder="1" applyFont="1" applyNumberFormat="1">
      <alignment horizontal="right" shrinkToFit="0" vertical="top" wrapText="1"/>
    </xf>
    <xf borderId="0" fillId="0" fontId="17" numFmtId="0" xfId="0" applyAlignment="1" applyFont="1">
      <alignment vertical="bottom"/>
    </xf>
    <xf borderId="1" fillId="3" fontId="15" numFmtId="4" xfId="0" applyAlignment="1" applyBorder="1" applyFont="1" applyNumberFormat="1">
      <alignment shrinkToFit="0" vertical="top" wrapText="1"/>
    </xf>
    <xf borderId="1" fillId="0" fontId="17" numFmtId="0" xfId="0" applyAlignment="1" applyBorder="1" applyFont="1">
      <alignment vertical="top"/>
    </xf>
    <xf borderId="1" fillId="3" fontId="17" numFmtId="4" xfId="0" applyAlignment="1" applyBorder="1" applyFont="1" applyNumberFormat="1">
      <alignment vertical="top"/>
    </xf>
    <xf borderId="2" fillId="3" fontId="25" numFmtId="0" xfId="0" applyAlignment="1" applyBorder="1" applyFont="1">
      <alignment horizontal="center" readingOrder="0" shrinkToFit="0" vertical="top" wrapText="1"/>
    </xf>
    <xf borderId="1" fillId="3" fontId="25" numFmtId="0" xfId="0" applyAlignment="1" applyBorder="1" applyFont="1">
      <alignment readingOrder="0" shrinkToFit="0" vertical="top" wrapText="1"/>
    </xf>
    <xf borderId="1" fillId="3" fontId="15" numFmtId="4" xfId="0" applyAlignment="1" applyBorder="1" applyFont="1" applyNumberFormat="1">
      <alignment horizontal="center" shrinkToFit="0" wrapText="1"/>
    </xf>
    <xf borderId="1" fillId="3" fontId="15" numFmtId="4" xfId="0" applyAlignment="1" applyBorder="1" applyFont="1" applyNumberFormat="1">
      <alignment shrinkToFit="0" wrapText="1"/>
    </xf>
    <xf borderId="1" fillId="3" fontId="25" numFmtId="4" xfId="0" applyAlignment="1" applyBorder="1" applyFont="1" applyNumberFormat="1">
      <alignment horizontal="center" readingOrder="0" shrinkToFit="0" wrapText="1"/>
    </xf>
    <xf borderId="1" fillId="3" fontId="25" numFmtId="4" xfId="0" applyAlignment="1" applyBorder="1" applyFont="1" applyNumberFormat="1">
      <alignment readingOrder="0" shrinkToFit="0" vertical="center" wrapText="1"/>
    </xf>
    <xf borderId="1" fillId="3" fontId="15" numFmtId="0" xfId="0" applyAlignment="1" applyBorder="1" applyFont="1">
      <alignment horizontal="center" shrinkToFit="0" wrapText="1"/>
    </xf>
    <xf borderId="1" fillId="3" fontId="15" numFmtId="164" xfId="0" applyAlignment="1" applyBorder="1" applyFont="1" applyNumberFormat="1">
      <alignment horizontal="center" shrinkToFit="0" wrapText="1"/>
    </xf>
    <xf borderId="1" fillId="0" fontId="15" numFmtId="3" xfId="0" applyAlignment="1" applyBorder="1" applyFont="1" applyNumberFormat="1">
      <alignment horizontal="center" shrinkToFit="0" wrapText="1"/>
    </xf>
    <xf borderId="1" fillId="3" fontId="17" numFmtId="0" xfId="0" applyAlignment="1" applyBorder="1" applyFont="1">
      <alignment vertical="bottom"/>
    </xf>
    <xf borderId="1" fillId="3" fontId="15" numFmtId="0" xfId="0" applyAlignment="1" applyBorder="1" applyFont="1">
      <alignment shrinkToFit="0" wrapText="1"/>
    </xf>
    <xf borderId="1" fillId="3" fontId="17" numFmtId="164" xfId="0" applyAlignment="1" applyBorder="1" applyFont="1" applyNumberFormat="1">
      <alignment vertical="top"/>
    </xf>
    <xf borderId="1" fillId="0" fontId="17" numFmtId="3" xfId="0" applyAlignment="1" applyBorder="1" applyFont="1" applyNumberFormat="1">
      <alignment vertical="top"/>
    </xf>
    <xf borderId="2" fillId="3" fontId="15" numFmtId="0" xfId="0" applyAlignment="1" applyBorder="1" applyFont="1">
      <alignment horizontal="center" vertical="top"/>
    </xf>
    <xf borderId="2" fillId="3" fontId="15" numFmtId="0" xfId="0" applyAlignment="1" applyBorder="1" applyFont="1">
      <alignment horizontal="center" shrinkToFit="0" wrapText="1"/>
    </xf>
    <xf borderId="2" fillId="3" fontId="15" numFmtId="164" xfId="0" applyAlignment="1" applyBorder="1" applyFont="1" applyNumberFormat="1">
      <alignment horizontal="center" shrinkToFit="0" wrapText="1"/>
    </xf>
    <xf borderId="2" fillId="0" fontId="15" numFmtId="3" xfId="0" applyAlignment="1" applyBorder="1" applyFont="1" applyNumberFormat="1">
      <alignment horizontal="center" shrinkToFit="0" wrapText="1"/>
    </xf>
    <xf borderId="2" fillId="3" fontId="15" numFmtId="4" xfId="0" applyAlignment="1" applyBorder="1" applyFont="1" applyNumberFormat="1">
      <alignment horizontal="center" shrinkToFit="0" wrapText="1"/>
    </xf>
    <xf borderId="2" fillId="3" fontId="15" numFmtId="0" xfId="0" applyAlignment="1" applyBorder="1" applyFont="1">
      <alignment shrinkToFit="0" wrapText="1"/>
    </xf>
    <xf borderId="1" fillId="3" fontId="17" numFmtId="0" xfId="0" applyBorder="1" applyFont="1"/>
    <xf borderId="0" fillId="0" fontId="17" numFmtId="0" xfId="0" applyFont="1"/>
    <xf borderId="1" fillId="0" fontId="11" numFmtId="0" xfId="0" applyAlignment="1" applyBorder="1" applyFont="1">
      <alignment vertical="top"/>
    </xf>
    <xf borderId="1" fillId="3" fontId="11" numFmtId="0" xfId="0" applyAlignment="1" applyBorder="1" applyFont="1">
      <alignment vertical="top"/>
    </xf>
    <xf borderId="1" fillId="3" fontId="11" numFmtId="164" xfId="0" applyAlignment="1" applyBorder="1" applyFont="1" applyNumberFormat="1">
      <alignment vertical="top"/>
    </xf>
    <xf borderId="1" fillId="0" fontId="11" numFmtId="3" xfId="0" applyAlignment="1" applyBorder="1" applyFont="1" applyNumberFormat="1">
      <alignment vertical="top"/>
    </xf>
    <xf borderId="1" fillId="3" fontId="11" numFmtId="4" xfId="0" applyAlignment="1" applyBorder="1" applyFont="1" applyNumberFormat="1">
      <alignment vertical="top"/>
    </xf>
    <xf borderId="2" fillId="4" fontId="14" numFmtId="0" xfId="0" applyAlignment="1" applyBorder="1" applyFont="1">
      <alignment horizontal="center" shrinkToFit="0" vertical="top" wrapText="1"/>
    </xf>
    <xf borderId="2" fillId="4" fontId="14" numFmtId="0" xfId="0" applyAlignment="1" applyBorder="1" applyFont="1">
      <alignment shrinkToFit="0" vertical="top" wrapText="1"/>
    </xf>
    <xf borderId="2" fillId="4" fontId="14" numFmtId="0" xfId="0" applyAlignment="1" applyBorder="1" applyFont="1">
      <alignment readingOrder="0" shrinkToFit="0" vertical="top" wrapText="1"/>
    </xf>
    <xf borderId="2" fillId="4" fontId="14" numFmtId="0" xfId="0" applyAlignment="1" applyBorder="1" applyFont="1">
      <alignment horizontal="center" readingOrder="0" shrinkToFit="0" vertical="top" wrapText="1"/>
    </xf>
    <xf borderId="1" fillId="4" fontId="14" numFmtId="0" xfId="0" applyAlignment="1" applyBorder="1" applyFont="1">
      <alignment horizontal="center" readingOrder="0" shrinkToFit="0" vertical="center" wrapText="1"/>
    </xf>
    <xf borderId="1" fillId="4" fontId="14" numFmtId="4" xfId="0" applyAlignment="1" applyBorder="1" applyFont="1" applyNumberFormat="1">
      <alignment horizontal="right" readingOrder="0" shrinkToFit="0" vertical="center" wrapText="1"/>
    </xf>
    <xf borderId="0" fillId="4" fontId="11" numFmtId="0" xfId="0" applyAlignment="1" applyFont="1">
      <alignment vertical="bottom"/>
    </xf>
    <xf borderId="1" fillId="4" fontId="14" numFmtId="4" xfId="0" applyAlignment="1" applyBorder="1" applyFont="1" applyNumberFormat="1">
      <alignment horizontal="right" readingOrder="0" shrinkToFit="0" vertical="top" wrapText="1"/>
    </xf>
    <xf borderId="1" fillId="4" fontId="14" numFmtId="0" xfId="0" applyAlignment="1" applyBorder="1" applyFont="1">
      <alignment readingOrder="0" shrinkToFit="0" wrapText="1"/>
    </xf>
    <xf borderId="1" fillId="3" fontId="14" numFmtId="0" xfId="0" applyAlignment="1" applyBorder="1" applyFont="1">
      <alignment readingOrder="0" shrinkToFit="0" vertical="top" wrapText="1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3" fontId="14" numFmtId="164" xfId="0" applyAlignment="1" applyBorder="1" applyFont="1" applyNumberFormat="1">
      <alignment horizontal="center" shrinkToFit="0" vertical="center" wrapText="1"/>
    </xf>
    <xf borderId="1" fillId="0" fontId="14" numFmtId="3" xfId="0" applyAlignment="1" applyBorder="1" applyFont="1" applyNumberFormat="1">
      <alignment horizontal="center" shrinkToFit="0" vertical="center" wrapText="1"/>
    </xf>
    <xf borderId="1" fillId="3" fontId="14" numFmtId="4" xfId="0" applyAlignment="1" applyBorder="1" applyFont="1" applyNumberFormat="1">
      <alignment horizontal="right" readingOrder="0" shrinkToFit="0" vertical="top" wrapText="1"/>
    </xf>
    <xf borderId="1" fillId="3" fontId="14" numFmtId="0" xfId="0" applyAlignment="1" applyBorder="1" applyFont="1">
      <alignment readingOrder="0" shrinkToFit="0" wrapText="1"/>
    </xf>
    <xf borderId="1" fillId="3" fontId="14" numFmtId="0" xfId="0" applyAlignment="1" applyBorder="1" applyFont="1">
      <alignment shrinkToFit="0" vertical="top" wrapText="1"/>
    </xf>
    <xf borderId="1" fillId="3" fontId="14" numFmtId="4" xfId="0" applyAlignment="1" applyBorder="1" applyFont="1" applyNumberFormat="1">
      <alignment horizontal="right" shrinkToFit="0" vertical="top" wrapText="1"/>
    </xf>
    <xf borderId="1" fillId="3" fontId="14" numFmtId="0" xfId="0" applyAlignment="1" applyBorder="1" applyFont="1">
      <alignment shrinkToFit="0" vertical="center" wrapText="1"/>
    </xf>
    <xf borderId="1" fillId="3" fontId="11" numFmtId="0" xfId="0" applyAlignment="1" applyBorder="1" applyFont="1">
      <alignment readingOrder="0" shrinkToFit="0" vertical="center" wrapText="1"/>
    </xf>
    <xf borderId="1" fillId="3" fontId="11" numFmtId="4" xfId="0" applyAlignment="1" applyBorder="1" applyFont="1" applyNumberFormat="1">
      <alignment vertical="center"/>
    </xf>
    <xf borderId="1" fillId="4" fontId="14" numFmtId="0" xfId="0" applyAlignment="1" applyBorder="1" applyFont="1">
      <alignment shrinkToFit="0" wrapText="1"/>
    </xf>
    <xf borderId="1" fillId="4" fontId="14" numFmtId="164" xfId="0" applyAlignment="1" applyBorder="1" applyFont="1" applyNumberFormat="1">
      <alignment horizontal="center" shrinkToFit="0" wrapText="1"/>
    </xf>
    <xf borderId="1" fillId="4" fontId="14" numFmtId="3" xfId="0" applyAlignment="1" applyBorder="1" applyFont="1" applyNumberFormat="1">
      <alignment horizontal="center" shrinkToFit="0" wrapText="1"/>
    </xf>
    <xf borderId="2" fillId="4" fontId="11" numFmtId="0" xfId="0" applyAlignment="1" applyBorder="1" applyFont="1">
      <alignment shrinkToFit="0" wrapText="1"/>
    </xf>
    <xf borderId="1" fillId="4" fontId="14" numFmtId="4" xfId="0" applyAlignment="1" applyBorder="1" applyFont="1" applyNumberFormat="1">
      <alignment horizontal="right" shrinkToFit="0" vertical="top" wrapText="1"/>
    </xf>
    <xf borderId="1" fillId="4" fontId="14" numFmtId="0" xfId="0" applyAlignment="1" applyBorder="1" applyFont="1">
      <alignment horizontal="center" shrinkToFit="0" vertical="top" wrapText="1"/>
    </xf>
    <xf borderId="1" fillId="4" fontId="11" numFmtId="0" xfId="0" applyBorder="1" applyFont="1"/>
    <xf borderId="1" fillId="3" fontId="14" numFmtId="164" xfId="0" applyAlignment="1" applyBorder="1" applyFont="1" applyNumberFormat="1">
      <alignment horizontal="center" readingOrder="0" shrinkToFit="0" vertical="center" wrapText="1"/>
    </xf>
    <xf borderId="1" fillId="3" fontId="14" numFmtId="0" xfId="0" applyAlignment="1" applyBorder="1" applyFont="1">
      <alignment readingOrder="0" shrinkToFit="0" vertical="center" wrapText="1"/>
    </xf>
    <xf borderId="1" fillId="4" fontId="14" numFmtId="0" xfId="0" applyAlignment="1" applyBorder="1" applyFont="1">
      <alignment horizontal="center" readingOrder="0" shrinkToFit="0" vertical="top" wrapText="1"/>
    </xf>
    <xf borderId="1" fillId="4" fontId="11" numFmtId="0" xfId="0" applyAlignment="1" applyBorder="1" applyFont="1">
      <alignment readingOrder="0" vertical="top"/>
    </xf>
    <xf borderId="1" fillId="4" fontId="14" numFmtId="4" xfId="0" applyAlignment="1" applyBorder="1" applyFont="1" applyNumberFormat="1">
      <alignment shrinkToFit="0" vertical="top" wrapText="1"/>
    </xf>
    <xf borderId="2" fillId="4" fontId="14" numFmtId="4" xfId="0" applyAlignment="1" applyBorder="1" applyFont="1" applyNumberFormat="1">
      <alignment horizontal="center" shrinkToFit="0" wrapText="1"/>
    </xf>
    <xf borderId="2" fillId="4" fontId="14" numFmtId="0" xfId="0" applyAlignment="1" applyBorder="1" applyFont="1">
      <alignment shrinkToFit="0" wrapText="1"/>
    </xf>
    <xf borderId="2" fillId="4" fontId="14" numFmtId="0" xfId="0" applyAlignment="1" applyBorder="1" applyFont="1">
      <alignment horizontal="center" shrinkToFit="0" wrapText="1"/>
    </xf>
    <xf borderId="2" fillId="4" fontId="11" numFmtId="0" xfId="0" applyAlignment="1" applyBorder="1" applyFont="1">
      <alignment vertical="top"/>
    </xf>
    <xf borderId="1" fillId="3" fontId="14" numFmtId="164" xfId="0" applyAlignment="1" applyBorder="1" applyFont="1" applyNumberFormat="1">
      <alignment horizontal="center" shrinkToFit="0" wrapText="1"/>
    </xf>
    <xf borderId="1" fillId="0" fontId="14" numFmtId="3" xfId="0" applyAlignment="1" applyBorder="1" applyFont="1" applyNumberFormat="1">
      <alignment horizontal="center" shrinkToFit="0" vertical="top" wrapText="1"/>
    </xf>
    <xf borderId="2" fillId="4" fontId="14" numFmtId="3" xfId="0" applyAlignment="1" applyBorder="1" applyFont="1" applyNumberFormat="1">
      <alignment horizontal="center" vertical="top"/>
    </xf>
    <xf borderId="2" fillId="4" fontId="14" numFmtId="0" xfId="0" applyAlignment="1" applyBorder="1" applyFont="1">
      <alignment horizontal="center" vertical="top"/>
    </xf>
    <xf borderId="8" fillId="4" fontId="26" numFmtId="0" xfId="0" applyAlignment="1" applyBorder="1" applyFont="1">
      <alignment shrinkToFit="0" vertical="center" wrapText="1"/>
    </xf>
    <xf borderId="4" fillId="4" fontId="14" numFmtId="0" xfId="0" applyAlignment="1" applyBorder="1" applyFont="1">
      <alignment horizontal="center" shrinkToFit="0" vertical="top" wrapText="1"/>
    </xf>
    <xf borderId="0" fillId="4" fontId="11" numFmtId="0" xfId="0" applyAlignment="1" applyFont="1">
      <alignment readingOrder="0" shrinkToFit="0" vertical="center" wrapText="1"/>
    </xf>
    <xf borderId="1" fillId="4" fontId="11" numFmtId="0" xfId="0" applyAlignment="1" applyBorder="1" applyFont="1">
      <alignment readingOrder="0" shrinkToFit="0" vertical="top" wrapText="1"/>
    </xf>
    <xf borderId="6" fillId="4" fontId="26" numFmtId="0" xfId="0" applyAlignment="1" applyBorder="1" applyFont="1">
      <alignment horizontal="center" shrinkToFit="0" vertical="center" wrapText="1"/>
    </xf>
    <xf borderId="6" fillId="4" fontId="26" numFmtId="0" xfId="0" applyAlignment="1" applyBorder="1" applyFont="1">
      <alignment horizontal="center" readingOrder="0" shrinkToFit="0" vertical="center" wrapText="1"/>
    </xf>
    <xf borderId="1" fillId="4" fontId="11" numFmtId="164" xfId="0" applyAlignment="1" applyBorder="1" applyFont="1" applyNumberFormat="1">
      <alignment readingOrder="0" vertical="top"/>
    </xf>
    <xf borderId="1" fillId="4" fontId="11" numFmtId="165" xfId="0" applyAlignment="1" applyBorder="1" applyFont="1" applyNumberFormat="1">
      <alignment readingOrder="0" vertical="top"/>
    </xf>
    <xf borderId="1" fillId="4" fontId="11" numFmtId="3" xfId="0" applyAlignment="1" applyBorder="1" applyFont="1" applyNumberFormat="1">
      <alignment horizontal="center" readingOrder="0" vertical="top"/>
    </xf>
    <xf borderId="1" fillId="4" fontId="11" numFmtId="4" xfId="0" applyAlignment="1" applyBorder="1" applyFont="1" applyNumberFormat="1">
      <alignment vertical="top"/>
    </xf>
    <xf borderId="8" fillId="4" fontId="27" numFmtId="0" xfId="0" applyAlignment="1" applyBorder="1" applyFont="1">
      <alignment horizontal="left" shrinkToFit="0" vertical="center" wrapText="1"/>
    </xf>
    <xf borderId="8" fillId="4" fontId="27" numFmtId="0" xfId="0" applyAlignment="1" applyBorder="1" applyFont="1">
      <alignment shrinkToFit="0" vertical="bottom" wrapText="1"/>
    </xf>
    <xf borderId="1" fillId="4" fontId="27" numFmtId="0" xfId="0" applyAlignment="1" applyBorder="1" applyFont="1">
      <alignment horizontal="left" shrinkToFit="0" vertical="center" wrapText="1"/>
    </xf>
    <xf borderId="1" fillId="4" fontId="27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horizontal="center" shrinkToFit="0" vertical="top" wrapText="1"/>
    </xf>
    <xf borderId="1" fillId="3" fontId="14" numFmtId="164" xfId="0" applyAlignment="1" applyBorder="1" applyFont="1" applyNumberFormat="1">
      <alignment horizontal="center" shrinkToFit="0" vertical="top" wrapText="1"/>
    </xf>
    <xf borderId="0" fillId="0" fontId="22" numFmtId="0" xfId="0" applyAlignment="1" applyFont="1">
      <alignment shrinkToFit="0" vertical="top" wrapText="1"/>
    </xf>
    <xf borderId="1" fillId="0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center" shrinkToFit="0" vertical="top" wrapText="1"/>
    </xf>
    <xf borderId="1" fillId="2" fontId="14" numFmtId="0" xfId="0" applyAlignment="1" applyBorder="1" applyFont="1">
      <alignment horizontal="center" shrinkToFit="0" wrapText="1"/>
    </xf>
    <xf borderId="0" fillId="0" fontId="11" numFmtId="0" xfId="0" applyFont="1"/>
    <xf borderId="2" fillId="0" fontId="14" numFmtId="0" xfId="0" applyAlignment="1" applyBorder="1" applyFont="1">
      <alignment horizontal="center" shrinkToFit="0" vertical="top" wrapText="1"/>
    </xf>
    <xf borderId="2" fillId="3" fontId="14" numFmtId="0" xfId="0" applyAlignment="1" applyBorder="1" applyFont="1">
      <alignment horizontal="center" shrinkToFit="0" vertical="top" wrapText="1"/>
    </xf>
    <xf borderId="2" fillId="3" fontId="14" numFmtId="0" xfId="0" applyAlignment="1" applyBorder="1" applyFont="1">
      <alignment shrinkToFit="0" vertical="top" wrapText="1"/>
    </xf>
    <xf borderId="2" fillId="3" fontId="11" numFmtId="0" xfId="0" applyAlignment="1" applyBorder="1" applyFont="1">
      <alignment readingOrder="0" shrinkToFit="0" vertical="top" wrapText="1"/>
    </xf>
    <xf borderId="2" fillId="3" fontId="14" numFmtId="0" xfId="0" applyAlignment="1" applyBorder="1" applyFont="1">
      <alignment horizontal="center" readingOrder="0" shrinkToFit="0" vertical="top" wrapText="1"/>
    </xf>
    <xf borderId="2" fillId="0" fontId="14" numFmtId="3" xfId="0" applyAlignment="1" applyBorder="1" applyFont="1" applyNumberFormat="1">
      <alignment horizontal="center" shrinkToFit="0" vertical="top" wrapText="1"/>
    </xf>
    <xf borderId="2" fillId="3" fontId="11" numFmtId="2" xfId="0" applyAlignment="1" applyBorder="1" applyFont="1" applyNumberFormat="1">
      <alignment readingOrder="0" shrinkToFit="0" vertical="top" wrapText="1"/>
    </xf>
    <xf borderId="1" fillId="3" fontId="14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readingOrder="0" shrinkToFit="0" vertical="top" wrapText="1"/>
    </xf>
    <xf borderId="1" fillId="3" fontId="11" numFmtId="0" xfId="0" applyAlignment="1" applyBorder="1" applyFont="1">
      <alignment readingOrder="0" vertical="top"/>
    </xf>
    <xf borderId="1" fillId="3" fontId="14" numFmtId="2" xfId="0" applyAlignment="1" applyBorder="1" applyFont="1" applyNumberFormat="1">
      <alignment readingOrder="0" shrinkToFit="0" vertical="top" wrapText="1"/>
    </xf>
    <xf borderId="1" fillId="3" fontId="14" numFmtId="0" xfId="0" applyAlignment="1" applyBorder="1" applyFont="1">
      <alignment horizontal="center" readingOrder="0" shrinkToFit="0" vertical="top" wrapText="1"/>
    </xf>
    <xf borderId="1" fillId="3" fontId="11" numFmtId="4" xfId="0" applyAlignment="1" applyBorder="1" applyFont="1" applyNumberFormat="1">
      <alignment readingOrder="0" vertical="top"/>
    </xf>
    <xf borderId="1" fillId="3" fontId="14" numFmtId="0" xfId="0" applyAlignment="1" applyBorder="1" applyFont="1">
      <alignment horizontal="center" shrinkToFit="0" wrapText="1"/>
    </xf>
    <xf borderId="1" fillId="0" fontId="14" numFmtId="3" xfId="0" applyAlignment="1" applyBorder="1" applyFont="1" applyNumberFormat="1">
      <alignment horizontal="center" shrinkToFit="0" wrapText="1"/>
    </xf>
    <xf borderId="1" fillId="3" fontId="14" numFmtId="4" xfId="0" applyAlignment="1" applyBorder="1" applyFont="1" applyNumberFormat="1">
      <alignment shrinkToFit="0" wrapText="1"/>
    </xf>
    <xf borderId="1" fillId="3" fontId="14" numFmtId="0" xfId="0" applyAlignment="1" applyBorder="1" applyFont="1">
      <alignment shrinkToFit="0" wrapText="1"/>
    </xf>
    <xf borderId="1" fillId="3" fontId="11" numFmtId="0" xfId="0" applyBorder="1" applyFont="1"/>
    <xf borderId="0" fillId="0" fontId="14" numFmtId="164" xfId="0" applyAlignment="1" applyFont="1" applyNumberFormat="1">
      <alignment horizontal="center" shrinkToFit="0" vertical="top" wrapText="1"/>
    </xf>
    <xf borderId="0" fillId="0" fontId="11" numFmtId="4" xfId="0" applyAlignment="1" applyFont="1" applyNumberFormat="1">
      <alignment vertical="top"/>
    </xf>
    <xf borderId="1" fillId="0" fontId="13" numFmtId="0" xfId="0" applyAlignment="1" applyBorder="1" applyFont="1">
      <alignment horizontal="center" shrinkToFit="0" wrapText="1"/>
    </xf>
    <xf borderId="1" fillId="3" fontId="14" numFmtId="164" xfId="0" applyAlignment="1" applyBorder="1" applyFont="1" applyNumberFormat="1">
      <alignment horizontal="center" readingOrder="0" shrinkToFit="0" vertical="top" wrapText="1"/>
    </xf>
    <xf borderId="2" fillId="3" fontId="28" numFmtId="0" xfId="0" applyAlignment="1" applyBorder="1" applyFont="1">
      <alignment shrinkToFit="0" vertical="top" wrapText="1"/>
    </xf>
    <xf borderId="2" fillId="3" fontId="28" numFmtId="0" xfId="0" applyAlignment="1" applyBorder="1" applyFont="1">
      <alignment horizontal="center" shrinkToFit="0" vertical="top" wrapText="1"/>
    </xf>
    <xf borderId="2" fillId="3" fontId="28" numFmtId="9" xfId="0" applyAlignment="1" applyBorder="1" applyFont="1" applyNumberFormat="1">
      <alignment horizontal="center" shrinkToFit="0" vertical="top" wrapText="1"/>
    </xf>
    <xf borderId="2" fillId="3" fontId="28" numFmtId="164" xfId="0" applyAlignment="1" applyBorder="1" applyFont="1" applyNumberFormat="1">
      <alignment horizontal="center" shrinkToFit="0" vertical="top" wrapText="1"/>
    </xf>
    <xf borderId="2" fillId="0" fontId="28" numFmtId="3" xfId="0" applyAlignment="1" applyBorder="1" applyFont="1" applyNumberFormat="1">
      <alignment horizontal="center" shrinkToFit="0" vertical="top" wrapText="1"/>
    </xf>
    <xf borderId="2" fillId="3" fontId="28" numFmtId="4" xfId="0" applyAlignment="1" applyBorder="1" applyFont="1" applyNumberFormat="1">
      <alignment shrinkToFit="0" vertical="top" wrapText="1"/>
    </xf>
    <xf borderId="2" fillId="3" fontId="29" numFmtId="0" xfId="0" applyAlignment="1" applyBorder="1" applyFont="1">
      <alignment vertical="top"/>
    </xf>
    <xf borderId="1" fillId="3" fontId="11" numFmtId="0" xfId="0" applyAlignment="1" applyBorder="1" applyFont="1">
      <alignment horizontal="center" readingOrder="0" shrinkToFit="0" vertical="top" wrapText="1"/>
    </xf>
    <xf borderId="1" fillId="3" fontId="14" numFmtId="9" xfId="0" applyAlignment="1" applyBorder="1" applyFont="1" applyNumberFormat="1">
      <alignment horizontal="center" shrinkToFit="0" vertical="top" wrapText="1"/>
    </xf>
    <xf borderId="1" fillId="3" fontId="14" numFmtId="4" xfId="0" applyAlignment="1" applyBorder="1" applyFont="1" applyNumberFormat="1">
      <alignment shrinkToFit="0" vertical="top" wrapText="1"/>
    </xf>
    <xf borderId="0" fillId="0" fontId="30" numFmtId="0" xfId="0" applyAlignment="1" applyFont="1">
      <alignment shrinkToFit="0" vertical="top" wrapText="0"/>
    </xf>
    <xf borderId="0" fillId="0" fontId="31" numFmtId="0" xfId="0" applyAlignment="1" applyFont="1">
      <alignment horizontal="center" shrinkToFit="0" vertical="top" wrapText="0"/>
    </xf>
    <xf borderId="0" fillId="0" fontId="31" numFmtId="0" xfId="0" applyAlignment="1" applyFont="1">
      <alignment shrinkToFit="0" vertical="top" wrapText="0"/>
    </xf>
    <xf borderId="0" fillId="0" fontId="31" numFmtId="0" xfId="0" applyAlignment="1" applyFont="1">
      <alignment horizontal="left" shrinkToFit="0" vertical="top" wrapText="0"/>
    </xf>
    <xf borderId="0" fillId="0" fontId="31" numFmtId="0" xfId="0" applyAlignment="1" applyFont="1">
      <alignment shrinkToFit="0" wrapText="0"/>
    </xf>
    <xf borderId="0" fillId="0" fontId="14" numFmtId="0" xfId="0" applyAlignment="1" applyFont="1">
      <alignment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left" shrinkToFit="0" vertical="top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shrinkToFit="0" vertical="center" wrapText="1"/>
    </xf>
    <xf borderId="1" fillId="3" fontId="14" numFmtId="10" xfId="0" applyAlignment="1" applyBorder="1" applyFont="1" applyNumberFormat="1">
      <alignment horizontal="center" shrinkToFit="0" vertical="top" wrapText="1"/>
    </xf>
    <xf borderId="1" fillId="3" fontId="14" numFmtId="0" xfId="0" applyAlignment="1" applyBorder="1" applyFont="1">
      <alignment horizontal="left" shrinkToFit="0" vertical="top" wrapText="1"/>
    </xf>
    <xf borderId="0" fillId="0" fontId="2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horizontal="left" shrinkToFit="0" wrapText="1"/>
    </xf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6.13"/>
    <col customWidth="1" min="2" max="2" width="20.13"/>
    <col customWidth="1" min="3" max="5" width="32.0"/>
    <col customWidth="1" min="6" max="6" width="9.88"/>
    <col customWidth="1" min="7" max="7" width="18.13"/>
    <col customWidth="1" min="8" max="9" width="23.63"/>
    <col customWidth="1" min="14" max="14" width="9.88"/>
    <col customWidth="1" min="15" max="15" width="43.88"/>
    <col customWidth="1" min="16" max="16" width="21.63"/>
    <col customWidth="1" min="18" max="18" width="17.0"/>
    <col customWidth="1" min="19" max="19" width="21.88"/>
  </cols>
  <sheetData>
    <row r="1" ht="15.75" customHeight="1">
      <c r="A1" s="1" t="s">
        <v>0</v>
      </c>
      <c r="D1" s="2"/>
      <c r="E1" s="3" t="s">
        <v>1</v>
      </c>
      <c r="F1" s="3" t="s">
        <v>1</v>
      </c>
      <c r="G1" s="3" t="s">
        <v>1</v>
      </c>
      <c r="H1" s="4"/>
      <c r="I1" s="3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5"/>
      <c r="Z1" s="5"/>
      <c r="AA1" s="5"/>
    </row>
    <row r="2" ht="15.75" customHeight="1">
      <c r="A2" s="2"/>
      <c r="B2" s="6"/>
      <c r="C2" s="2"/>
      <c r="D2" s="2"/>
      <c r="E2" s="2"/>
      <c r="F2" s="2"/>
      <c r="G2" s="6"/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5"/>
      <c r="Z2" s="5"/>
      <c r="AA2" s="5"/>
    </row>
    <row r="3" ht="27.75" customHeight="1">
      <c r="A3" s="7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7" t="s">
        <v>7</v>
      </c>
      <c r="G3" s="8" t="s">
        <v>8</v>
      </c>
      <c r="H3" s="7" t="s">
        <v>9</v>
      </c>
      <c r="I3" s="9" t="s">
        <v>10</v>
      </c>
      <c r="J3" s="8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10" t="s">
        <v>20</v>
      </c>
      <c r="T3" s="2"/>
      <c r="U3" s="2"/>
      <c r="V3" s="2"/>
      <c r="W3" s="2"/>
      <c r="X3" s="2"/>
      <c r="Y3" s="5"/>
      <c r="Z3" s="5"/>
      <c r="AA3" s="5"/>
    </row>
    <row r="4" ht="72.75" customHeight="1">
      <c r="A4" s="11">
        <v>1.0</v>
      </c>
      <c r="B4" s="12" t="s">
        <v>21</v>
      </c>
      <c r="C4" s="13" t="s">
        <v>22</v>
      </c>
      <c r="D4" s="13" t="s">
        <v>22</v>
      </c>
      <c r="E4" s="14" t="s">
        <v>23</v>
      </c>
      <c r="F4" s="15" t="s">
        <v>24</v>
      </c>
      <c r="G4" s="15" t="s">
        <v>25</v>
      </c>
      <c r="H4" s="16" t="s">
        <v>26</v>
      </c>
      <c r="I4" s="17" t="s">
        <v>27</v>
      </c>
      <c r="J4" s="15" t="s">
        <v>28</v>
      </c>
      <c r="K4" s="15" t="s">
        <v>29</v>
      </c>
      <c r="L4" s="18">
        <v>46034.0</v>
      </c>
      <c r="M4" s="18">
        <v>46053.0</v>
      </c>
      <c r="N4" s="19">
        <f t="shared" ref="N4:N6" si="1">INT(NETWORKDAYS(L4,M4)/5)</f>
        <v>3</v>
      </c>
      <c r="O4" s="20" t="s">
        <v>30</v>
      </c>
      <c r="P4" s="21" t="s">
        <v>31</v>
      </c>
      <c r="Q4" s="13" t="s">
        <v>32</v>
      </c>
      <c r="R4" s="13"/>
      <c r="S4" s="21"/>
      <c r="T4" s="22"/>
      <c r="U4" s="22"/>
      <c r="V4" s="22"/>
      <c r="W4" s="22"/>
      <c r="X4" s="22"/>
      <c r="Y4" s="23"/>
      <c r="Z4" s="23"/>
      <c r="AA4" s="23"/>
    </row>
    <row r="5" ht="78.0" customHeight="1">
      <c r="A5" s="24"/>
      <c r="B5" s="24"/>
      <c r="C5" s="24"/>
      <c r="D5" s="24"/>
      <c r="E5" s="24"/>
      <c r="F5" s="24"/>
      <c r="G5" s="24"/>
      <c r="H5" s="24"/>
      <c r="I5" s="25" t="s">
        <v>33</v>
      </c>
      <c r="J5" s="24"/>
      <c r="K5" s="24"/>
      <c r="L5" s="18">
        <v>46041.0</v>
      </c>
      <c r="M5" s="18">
        <v>46053.0</v>
      </c>
      <c r="N5" s="19">
        <f t="shared" si="1"/>
        <v>2</v>
      </c>
      <c r="O5" s="20"/>
      <c r="P5" s="21"/>
      <c r="Q5" s="26"/>
      <c r="R5" s="26"/>
      <c r="S5" s="21"/>
      <c r="T5" s="22"/>
      <c r="U5" s="22"/>
      <c r="V5" s="22"/>
      <c r="W5" s="22"/>
      <c r="X5" s="22"/>
      <c r="Y5" s="23"/>
      <c r="Z5" s="23"/>
      <c r="AA5" s="23"/>
    </row>
    <row r="6" ht="78.0" customHeight="1">
      <c r="A6" s="26"/>
      <c r="B6" s="26"/>
      <c r="C6" s="26"/>
      <c r="D6" s="26"/>
      <c r="E6" s="26"/>
      <c r="F6" s="26"/>
      <c r="G6" s="26"/>
      <c r="H6" s="26"/>
      <c r="I6" s="25" t="s">
        <v>34</v>
      </c>
      <c r="J6" s="26"/>
      <c r="K6" s="26"/>
      <c r="L6" s="18">
        <v>46055.0</v>
      </c>
      <c r="M6" s="18">
        <v>46081.0</v>
      </c>
      <c r="N6" s="19">
        <f t="shared" si="1"/>
        <v>4</v>
      </c>
      <c r="O6" s="20"/>
      <c r="P6" s="21"/>
      <c r="Q6" s="21"/>
      <c r="R6" s="21"/>
      <c r="S6" s="21"/>
      <c r="T6" s="22"/>
      <c r="U6" s="22"/>
      <c r="V6" s="22"/>
      <c r="W6" s="22"/>
      <c r="X6" s="22"/>
      <c r="Y6" s="23"/>
      <c r="Z6" s="23"/>
      <c r="AA6" s="23"/>
    </row>
    <row r="7" ht="95.25" customHeight="1">
      <c r="A7" s="27">
        <v>2.0</v>
      </c>
      <c r="B7" s="28" t="s">
        <v>35</v>
      </c>
      <c r="C7" s="29" t="s">
        <v>36</v>
      </c>
      <c r="D7" s="30" t="s">
        <v>37</v>
      </c>
      <c r="E7" s="31" t="s">
        <v>38</v>
      </c>
      <c r="F7" s="32">
        <v>53.0</v>
      </c>
      <c r="G7" s="27">
        <v>10.0</v>
      </c>
      <c r="H7" s="29" t="s">
        <v>39</v>
      </c>
      <c r="I7" s="33" t="s">
        <v>40</v>
      </c>
      <c r="J7" s="28" t="s">
        <v>41</v>
      </c>
      <c r="K7" s="28" t="s">
        <v>42</v>
      </c>
      <c r="L7" s="34">
        <v>46153.0</v>
      </c>
      <c r="M7" s="35">
        <v>46367.0</v>
      </c>
      <c r="N7" s="36">
        <v>30.0</v>
      </c>
      <c r="O7" s="37" t="s">
        <v>43</v>
      </c>
      <c r="P7" s="38" t="s">
        <v>44</v>
      </c>
      <c r="Q7" s="39" t="s">
        <v>45</v>
      </c>
      <c r="R7" s="39"/>
      <c r="S7" s="39"/>
      <c r="T7" s="40"/>
      <c r="U7" s="40"/>
      <c r="V7" s="40"/>
      <c r="W7" s="40"/>
      <c r="X7" s="40"/>
      <c r="Y7" s="41"/>
      <c r="Z7" s="41"/>
      <c r="AA7" s="41"/>
    </row>
    <row r="8" ht="70.5" customHeight="1">
      <c r="A8" s="26"/>
      <c r="B8" s="26"/>
      <c r="C8" s="26"/>
      <c r="D8" s="26"/>
      <c r="E8" s="26"/>
      <c r="F8" s="26"/>
      <c r="G8" s="26"/>
      <c r="H8" s="26"/>
      <c r="I8" s="39" t="s">
        <v>46</v>
      </c>
      <c r="J8" s="26"/>
      <c r="K8" s="26"/>
      <c r="L8" s="34">
        <v>46153.0</v>
      </c>
      <c r="M8" s="35">
        <v>46367.0</v>
      </c>
      <c r="N8" s="36">
        <v>30.0</v>
      </c>
      <c r="O8" s="37" t="s">
        <v>47</v>
      </c>
      <c r="P8" s="26"/>
      <c r="Q8" s="39" t="s">
        <v>45</v>
      </c>
      <c r="R8" s="39"/>
      <c r="S8" s="39"/>
      <c r="T8" s="40"/>
      <c r="U8" s="40"/>
      <c r="V8" s="40"/>
      <c r="W8" s="40"/>
      <c r="X8" s="40"/>
      <c r="Y8" s="41"/>
      <c r="Z8" s="41"/>
      <c r="AA8" s="41"/>
    </row>
    <row r="9">
      <c r="A9" s="27">
        <v>3.0</v>
      </c>
      <c r="B9" s="27" t="s">
        <v>48</v>
      </c>
      <c r="C9" s="30" t="s">
        <v>49</v>
      </c>
      <c r="D9" s="30" t="s">
        <v>49</v>
      </c>
      <c r="E9" s="30" t="s">
        <v>49</v>
      </c>
      <c r="F9" s="28" t="s">
        <v>50</v>
      </c>
      <c r="G9" s="28" t="s">
        <v>51</v>
      </c>
      <c r="H9" s="31" t="s">
        <v>52</v>
      </c>
      <c r="I9" s="33" t="s">
        <v>53</v>
      </c>
      <c r="J9" s="31" t="s">
        <v>54</v>
      </c>
      <c r="K9" s="28" t="s">
        <v>55</v>
      </c>
      <c r="L9" s="42" t="s">
        <v>56</v>
      </c>
      <c r="M9" s="42"/>
      <c r="N9" s="36" t="s">
        <v>57</v>
      </c>
      <c r="O9" s="43" t="s">
        <v>58</v>
      </c>
      <c r="P9" s="39"/>
      <c r="Q9" s="42" t="s">
        <v>59</v>
      </c>
      <c r="R9" s="31"/>
      <c r="S9" s="39"/>
      <c r="T9" s="40"/>
      <c r="U9" s="40"/>
      <c r="V9" s="40"/>
      <c r="W9" s="40"/>
      <c r="X9" s="40"/>
      <c r="Y9" s="41"/>
      <c r="Z9" s="41"/>
      <c r="AA9" s="41"/>
    </row>
    <row r="10">
      <c r="A10" s="26"/>
      <c r="B10" s="26"/>
      <c r="C10" s="26"/>
      <c r="D10" s="26"/>
      <c r="E10" s="26"/>
      <c r="F10" s="26"/>
      <c r="G10" s="26"/>
      <c r="H10" s="26"/>
      <c r="I10" s="33" t="s">
        <v>60</v>
      </c>
      <c r="J10" s="26"/>
      <c r="K10" s="26"/>
      <c r="L10" s="42" t="s">
        <v>61</v>
      </c>
      <c r="M10" s="44"/>
      <c r="N10" s="36" t="s">
        <v>62</v>
      </c>
      <c r="O10" s="26"/>
      <c r="P10" s="39"/>
      <c r="Q10" s="42" t="s">
        <v>59</v>
      </c>
      <c r="R10" s="26"/>
      <c r="S10" s="39"/>
      <c r="T10" s="40"/>
      <c r="U10" s="40"/>
      <c r="V10" s="40"/>
      <c r="W10" s="40"/>
      <c r="X10" s="40"/>
      <c r="Y10" s="41"/>
      <c r="Z10" s="41"/>
      <c r="AA10" s="41"/>
    </row>
    <row r="11" ht="57.0" customHeight="1">
      <c r="A11" s="11">
        <v>4.0</v>
      </c>
      <c r="B11" s="12" t="s">
        <v>63</v>
      </c>
      <c r="C11" s="13" t="s">
        <v>64</v>
      </c>
      <c r="D11" s="13" t="s">
        <v>64</v>
      </c>
      <c r="E11" s="13" t="s">
        <v>64</v>
      </c>
      <c r="F11" s="15" t="s">
        <v>65</v>
      </c>
      <c r="G11" s="15" t="s">
        <v>66</v>
      </c>
      <c r="H11" s="13" t="s">
        <v>67</v>
      </c>
      <c r="I11" s="17" t="s">
        <v>68</v>
      </c>
      <c r="J11" s="12" t="s">
        <v>55</v>
      </c>
      <c r="K11" s="45"/>
      <c r="L11" s="18">
        <v>46023.0</v>
      </c>
      <c r="M11" s="18">
        <v>46387.0</v>
      </c>
      <c r="N11" s="19">
        <f t="shared" ref="N11:N12" si="2">INT(NETWORKDAYS(L11,M11)/5)</f>
        <v>52</v>
      </c>
      <c r="O11" s="46" t="s">
        <v>69</v>
      </c>
      <c r="P11" s="47" t="s">
        <v>70</v>
      </c>
      <c r="Q11" s="45"/>
      <c r="R11" s="48"/>
      <c r="S11" s="21"/>
      <c r="T11" s="22"/>
      <c r="U11" s="22"/>
      <c r="V11" s="22"/>
      <c r="W11" s="22"/>
      <c r="X11" s="22"/>
      <c r="Y11" s="23"/>
      <c r="Z11" s="23"/>
      <c r="AA11" s="23"/>
    </row>
    <row r="12" ht="77.25" customHeight="1">
      <c r="A12" s="26"/>
      <c r="B12" s="26"/>
      <c r="C12" s="26"/>
      <c r="D12" s="26"/>
      <c r="E12" s="26"/>
      <c r="F12" s="26"/>
      <c r="G12" s="26"/>
      <c r="H12" s="26"/>
      <c r="I12" s="17" t="s">
        <v>71</v>
      </c>
      <c r="J12" s="26"/>
      <c r="K12" s="45" t="s">
        <v>72</v>
      </c>
      <c r="L12" s="18">
        <v>45980.0</v>
      </c>
      <c r="M12" s="18">
        <v>46112.0</v>
      </c>
      <c r="N12" s="19">
        <f t="shared" si="2"/>
        <v>19</v>
      </c>
      <c r="O12" s="46" t="s">
        <v>73</v>
      </c>
      <c r="P12" s="47" t="s">
        <v>74</v>
      </c>
      <c r="Q12" s="45" t="s">
        <v>75</v>
      </c>
      <c r="R12" s="48">
        <v>45980.0</v>
      </c>
      <c r="S12" s="21"/>
      <c r="T12" s="22"/>
      <c r="U12" s="22"/>
      <c r="V12" s="22"/>
      <c r="W12" s="22"/>
      <c r="X12" s="22"/>
      <c r="Y12" s="23"/>
      <c r="Z12" s="23"/>
      <c r="AA12" s="23"/>
    </row>
    <row r="13" ht="72.0" customHeight="1">
      <c r="A13" s="27">
        <v>5.0</v>
      </c>
      <c r="B13" s="27" t="s">
        <v>76</v>
      </c>
      <c r="C13" s="29" t="s">
        <v>77</v>
      </c>
      <c r="D13" s="29" t="s">
        <v>78</v>
      </c>
      <c r="E13" s="29" t="s">
        <v>78</v>
      </c>
      <c r="F13" s="32">
        <v>12.0</v>
      </c>
      <c r="G13" s="32">
        <v>17.65</v>
      </c>
      <c r="H13" s="38" t="s">
        <v>79</v>
      </c>
      <c r="I13" s="33" t="s">
        <v>80</v>
      </c>
      <c r="J13" s="39" t="s">
        <v>81</v>
      </c>
      <c r="K13" s="42"/>
      <c r="L13" s="49" t="s">
        <v>82</v>
      </c>
      <c r="M13" s="49" t="s">
        <v>82</v>
      </c>
      <c r="N13" s="36">
        <v>1.0</v>
      </c>
      <c r="O13" s="50" t="s">
        <v>83</v>
      </c>
      <c r="P13" s="51" t="s">
        <v>84</v>
      </c>
      <c r="Q13" s="39"/>
      <c r="R13" s="39"/>
      <c r="S13" s="39"/>
      <c r="T13" s="40"/>
      <c r="U13" s="40"/>
      <c r="V13" s="40"/>
      <c r="W13" s="40"/>
      <c r="X13" s="40"/>
      <c r="Y13" s="41"/>
      <c r="Z13" s="41"/>
      <c r="AA13" s="41"/>
    </row>
    <row r="14">
      <c r="A14" s="26"/>
      <c r="B14" s="26"/>
      <c r="C14" s="26"/>
      <c r="D14" s="26"/>
      <c r="E14" s="26"/>
      <c r="F14" s="26"/>
      <c r="G14" s="26"/>
      <c r="H14" s="26"/>
      <c r="I14" s="33" t="s">
        <v>85</v>
      </c>
      <c r="J14" s="39" t="s">
        <v>81</v>
      </c>
      <c r="K14" s="42"/>
      <c r="L14" s="49" t="s">
        <v>86</v>
      </c>
      <c r="M14" s="49" t="s">
        <v>86</v>
      </c>
      <c r="N14" s="36">
        <v>1.0</v>
      </c>
      <c r="O14" s="50" t="s">
        <v>87</v>
      </c>
      <c r="P14" s="52" t="s">
        <v>88</v>
      </c>
      <c r="Q14" s="42" t="s">
        <v>89</v>
      </c>
      <c r="R14" s="39"/>
      <c r="S14" s="42"/>
      <c r="T14" s="40"/>
      <c r="U14" s="53" t="s">
        <v>90</v>
      </c>
      <c r="V14" s="40"/>
      <c r="W14" s="40"/>
      <c r="X14" s="40"/>
      <c r="Y14" s="41"/>
      <c r="Z14" s="41"/>
      <c r="AA14" s="41"/>
    </row>
    <row r="15" ht="72.75" customHeight="1">
      <c r="A15" s="11">
        <v>6.0</v>
      </c>
      <c r="B15" s="12" t="s">
        <v>91</v>
      </c>
      <c r="C15" s="13" t="s">
        <v>92</v>
      </c>
      <c r="D15" s="54" t="s">
        <v>93</v>
      </c>
      <c r="E15" s="55" t="s">
        <v>94</v>
      </c>
      <c r="F15" s="56" t="s">
        <v>95</v>
      </c>
      <c r="G15" s="56" t="s">
        <v>96</v>
      </c>
      <c r="H15" s="13" t="s">
        <v>97</v>
      </c>
      <c r="I15" s="17" t="s">
        <v>98</v>
      </c>
      <c r="J15" s="12" t="s">
        <v>55</v>
      </c>
      <c r="K15" s="12" t="s">
        <v>99</v>
      </c>
      <c r="L15" s="57">
        <v>46023.0</v>
      </c>
      <c r="M15" s="57">
        <v>46387.0</v>
      </c>
      <c r="N15" s="19">
        <f t="shared" ref="N15:N17" si="3">INT(NETWORKDAYS(L15,M15)/5)</f>
        <v>52</v>
      </c>
      <c r="O15" s="58" t="s">
        <v>100</v>
      </c>
      <c r="P15" s="21" t="s">
        <v>101</v>
      </c>
      <c r="Q15" s="21"/>
      <c r="R15" s="21"/>
      <c r="S15" s="21"/>
      <c r="T15" s="22"/>
      <c r="U15" s="22"/>
      <c r="V15" s="22"/>
      <c r="W15" s="22"/>
      <c r="X15" s="22"/>
      <c r="Y15" s="23"/>
      <c r="Z15" s="23"/>
      <c r="AA15" s="23"/>
    </row>
    <row r="16" ht="61.5" customHeight="1">
      <c r="A16" s="24"/>
      <c r="B16" s="24"/>
      <c r="C16" s="24"/>
      <c r="D16" s="24"/>
      <c r="E16" s="24"/>
      <c r="F16" s="24"/>
      <c r="G16" s="24"/>
      <c r="H16" s="24"/>
      <c r="I16" s="59" t="s">
        <v>102</v>
      </c>
      <c r="J16" s="24"/>
      <c r="K16" s="24"/>
      <c r="L16" s="18">
        <v>46034.0</v>
      </c>
      <c r="M16" s="57">
        <v>46387.0</v>
      </c>
      <c r="N16" s="19">
        <f t="shared" si="3"/>
        <v>50</v>
      </c>
      <c r="O16" s="46" t="s">
        <v>103</v>
      </c>
      <c r="P16" s="45" t="s">
        <v>104</v>
      </c>
      <c r="Q16" s="45" t="s">
        <v>89</v>
      </c>
      <c r="R16" s="21"/>
      <c r="S16" s="45"/>
      <c r="T16" s="22"/>
      <c r="U16" s="22"/>
      <c r="V16" s="22"/>
      <c r="W16" s="22"/>
      <c r="X16" s="22"/>
      <c r="Y16" s="23"/>
      <c r="Z16" s="23"/>
      <c r="AA16" s="23"/>
    </row>
    <row r="17">
      <c r="A17" s="26"/>
      <c r="B17" s="26"/>
      <c r="C17" s="26"/>
      <c r="D17" s="26"/>
      <c r="E17" s="26"/>
      <c r="F17" s="26"/>
      <c r="G17" s="26"/>
      <c r="H17" s="26"/>
      <c r="I17" s="59" t="s">
        <v>105</v>
      </c>
      <c r="J17" s="26"/>
      <c r="K17" s="26"/>
      <c r="L17" s="57">
        <v>46023.0</v>
      </c>
      <c r="M17" s="57">
        <v>46387.0</v>
      </c>
      <c r="N17" s="19">
        <f t="shared" si="3"/>
        <v>52</v>
      </c>
      <c r="O17" s="58"/>
      <c r="P17" s="21"/>
      <c r="Q17" s="21"/>
      <c r="R17" s="21"/>
      <c r="S17" s="21"/>
      <c r="T17" s="22"/>
      <c r="U17" s="22"/>
      <c r="V17" s="22"/>
      <c r="W17" s="22"/>
      <c r="X17" s="22"/>
      <c r="Y17" s="23"/>
      <c r="Z17" s="23"/>
      <c r="AA17" s="23"/>
    </row>
    <row r="18" ht="15.75" customHeight="1">
      <c r="A18" s="6"/>
      <c r="B18" s="60"/>
      <c r="C18" s="61"/>
      <c r="D18" s="61"/>
      <c r="E18" s="61"/>
      <c r="F18" s="62"/>
      <c r="G18" s="62"/>
      <c r="H18" s="63"/>
      <c r="I18" s="63"/>
      <c r="J18" s="61"/>
      <c r="K18" s="62"/>
      <c r="L18" s="64"/>
      <c r="M18" s="64"/>
      <c r="N18" s="65"/>
      <c r="O18" s="66"/>
      <c r="P18" s="61"/>
      <c r="Q18" s="61"/>
      <c r="R18" s="61"/>
      <c r="S18" s="61"/>
      <c r="T18" s="2"/>
      <c r="U18" s="2"/>
      <c r="V18" s="2"/>
      <c r="W18" s="2"/>
      <c r="X18" s="2"/>
      <c r="Y18" s="5"/>
      <c r="Z18" s="5"/>
      <c r="AA18" s="5"/>
    </row>
    <row r="19" ht="15.75" customHeight="1">
      <c r="A19" s="6"/>
      <c r="B19" s="60"/>
      <c r="C19" s="61"/>
      <c r="D19" s="61"/>
      <c r="E19" s="61"/>
      <c r="F19" s="62"/>
      <c r="G19" s="62"/>
      <c r="H19" s="63"/>
      <c r="I19" s="63"/>
      <c r="J19" s="61"/>
      <c r="K19" s="62"/>
      <c r="L19" s="64"/>
      <c r="M19" s="64"/>
      <c r="N19" s="65"/>
      <c r="O19" s="66"/>
      <c r="P19" s="61"/>
      <c r="Q19" s="61"/>
      <c r="R19" s="61"/>
      <c r="S19" s="61"/>
      <c r="T19" s="2"/>
      <c r="U19" s="2"/>
      <c r="V19" s="2"/>
      <c r="W19" s="2"/>
      <c r="X19" s="2"/>
      <c r="Y19" s="5"/>
      <c r="Z19" s="5"/>
      <c r="AA19" s="5"/>
    </row>
    <row r="20" ht="15.75" customHeight="1">
      <c r="A20" s="6"/>
      <c r="B20" s="60"/>
      <c r="C20" s="61"/>
      <c r="D20" s="61"/>
      <c r="E20" s="61"/>
      <c r="F20" s="62"/>
      <c r="G20" s="62"/>
      <c r="H20" s="63"/>
      <c r="I20" s="63"/>
      <c r="J20" s="61"/>
      <c r="K20" s="62"/>
      <c r="L20" s="64"/>
      <c r="M20" s="64"/>
      <c r="N20" s="65"/>
      <c r="O20" s="66"/>
      <c r="P20" s="61"/>
      <c r="Q20" s="61"/>
      <c r="R20" s="61"/>
      <c r="S20" s="61"/>
      <c r="T20" s="2"/>
      <c r="U20" s="2"/>
      <c r="V20" s="2"/>
      <c r="W20" s="2"/>
      <c r="X20" s="2"/>
      <c r="Y20" s="5"/>
      <c r="Z20" s="5"/>
      <c r="AA20" s="5"/>
    </row>
    <row r="21" ht="15.75" customHeight="1">
      <c r="A21" s="6"/>
      <c r="B21" s="60"/>
      <c r="C21" s="61"/>
      <c r="D21" s="61"/>
      <c r="E21" s="61"/>
      <c r="F21" s="62"/>
      <c r="G21" s="62"/>
      <c r="H21" s="63"/>
      <c r="I21" s="63"/>
      <c r="J21" s="61"/>
      <c r="K21" s="62"/>
      <c r="L21" s="64"/>
      <c r="M21" s="64"/>
      <c r="N21" s="65"/>
      <c r="O21" s="66"/>
      <c r="P21" s="61"/>
      <c r="Q21" s="61"/>
      <c r="R21" s="61"/>
      <c r="S21" s="61"/>
      <c r="T21" s="2"/>
      <c r="U21" s="2"/>
      <c r="V21" s="2"/>
      <c r="W21" s="2"/>
      <c r="X21" s="2"/>
      <c r="Y21" s="5"/>
      <c r="Z21" s="5"/>
      <c r="AA21" s="5"/>
    </row>
    <row r="22" ht="15.75" customHeight="1">
      <c r="A22" s="6"/>
      <c r="B22" s="60"/>
      <c r="C22" s="61"/>
      <c r="D22" s="61"/>
      <c r="E22" s="61"/>
      <c r="F22" s="62"/>
      <c r="G22" s="62"/>
      <c r="H22" s="63"/>
      <c r="I22" s="63"/>
      <c r="J22" s="61"/>
      <c r="K22" s="62"/>
      <c r="L22" s="64"/>
      <c r="M22" s="64"/>
      <c r="N22" s="65"/>
      <c r="O22" s="66"/>
      <c r="P22" s="61"/>
      <c r="Q22" s="61"/>
      <c r="R22" s="61"/>
      <c r="S22" s="61"/>
      <c r="T22" s="2"/>
      <c r="U22" s="2"/>
      <c r="V22" s="2"/>
      <c r="W22" s="2"/>
      <c r="X22" s="2"/>
      <c r="Y22" s="5"/>
      <c r="Z22" s="5"/>
      <c r="AA22" s="5"/>
    </row>
    <row r="23" ht="15.75" customHeight="1">
      <c r="A23" s="2"/>
      <c r="B23" s="67" t="s">
        <v>106</v>
      </c>
      <c r="C23" s="67"/>
      <c r="D23" s="67" t="s">
        <v>107</v>
      </c>
      <c r="E23" s="67"/>
      <c r="F23" s="2"/>
      <c r="G23" s="6"/>
      <c r="H23" s="4"/>
      <c r="I23" s="68"/>
      <c r="J23" s="2"/>
      <c r="K23" s="2"/>
      <c r="L23" s="2"/>
      <c r="M23" s="2"/>
      <c r="N23" s="2"/>
      <c r="O23" s="69"/>
      <c r="P23" s="70"/>
      <c r="Q23" s="2"/>
      <c r="R23" s="2"/>
      <c r="S23" s="2"/>
      <c r="T23" s="2"/>
      <c r="U23" s="2"/>
      <c r="V23" s="2"/>
      <c r="W23" s="2"/>
      <c r="X23" s="2"/>
      <c r="Y23" s="5"/>
      <c r="Z23" s="5"/>
      <c r="AA23" s="5"/>
    </row>
    <row r="24" ht="15.75" customHeight="1">
      <c r="A24" s="2"/>
      <c r="B24" s="2"/>
      <c r="C24" s="2"/>
      <c r="D24" s="2"/>
      <c r="E24" s="2"/>
      <c r="F24" s="2"/>
      <c r="G24" s="6"/>
      <c r="H24" s="4"/>
      <c r="I24" s="4"/>
      <c r="J24" s="2"/>
      <c r="K24" s="2"/>
      <c r="L24" s="2"/>
      <c r="M24" s="2"/>
      <c r="N24" s="2"/>
      <c r="Q24" s="2"/>
      <c r="R24" s="2"/>
      <c r="S24" s="2"/>
      <c r="T24" s="2"/>
      <c r="U24" s="2"/>
      <c r="V24" s="2"/>
      <c r="W24" s="2"/>
      <c r="X24" s="2"/>
      <c r="Y24" s="5"/>
      <c r="Z24" s="5"/>
      <c r="AA24" s="5"/>
    </row>
    <row r="25" ht="15.75" customHeight="1">
      <c r="A25" s="2"/>
      <c r="B25" s="6"/>
      <c r="C25" s="2"/>
      <c r="D25" s="2"/>
      <c r="E25" s="2"/>
      <c r="F25" s="2"/>
      <c r="G25" s="6"/>
      <c r="H25" s="4"/>
      <c r="I25" s="4"/>
      <c r="J25" s="2"/>
      <c r="K25" s="2"/>
      <c r="L25" s="2"/>
      <c r="M25" s="2"/>
      <c r="N25" s="2"/>
      <c r="O25" s="2"/>
      <c r="P25" s="5"/>
      <c r="Q25" s="2"/>
      <c r="R25" s="2"/>
      <c r="S25" s="2"/>
      <c r="T25" s="2"/>
      <c r="U25" s="2"/>
      <c r="V25" s="2"/>
      <c r="W25" s="2"/>
      <c r="X25" s="2"/>
      <c r="Y25" s="5"/>
      <c r="Z25" s="5"/>
      <c r="AA25" s="5"/>
    </row>
    <row r="26" ht="15.75" customHeight="1">
      <c r="A26" s="2"/>
      <c r="B26" s="6"/>
      <c r="C26" s="2"/>
      <c r="D26" s="2"/>
      <c r="E26" s="2"/>
      <c r="F26" s="2"/>
      <c r="G26" s="6"/>
      <c r="H26" s="4"/>
      <c r="I26" s="4"/>
      <c r="J26" s="2"/>
      <c r="K26" s="2"/>
      <c r="L26" s="2"/>
      <c r="M26" s="2"/>
      <c r="N26" s="2"/>
      <c r="O26" s="2"/>
      <c r="P26" s="5"/>
      <c r="Q26" s="2"/>
      <c r="R26" s="2"/>
      <c r="S26" s="2"/>
      <c r="T26" s="2"/>
      <c r="U26" s="2"/>
      <c r="V26" s="2"/>
      <c r="W26" s="2"/>
      <c r="X26" s="2"/>
      <c r="Y26" s="5"/>
      <c r="Z26" s="5"/>
      <c r="AA26" s="5"/>
    </row>
    <row r="27" ht="15.75" customHeight="1">
      <c r="A27" s="2"/>
      <c r="B27" s="6"/>
      <c r="C27" s="2"/>
      <c r="D27" s="2"/>
      <c r="E27" s="2"/>
      <c r="F27" s="2"/>
      <c r="G27" s="6"/>
      <c r="H27" s="4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5"/>
      <c r="Z27" s="5"/>
      <c r="AA27" s="5"/>
    </row>
    <row r="28" ht="15.75" customHeight="1">
      <c r="A28" s="2"/>
      <c r="B28" s="6"/>
      <c r="C28" s="2"/>
      <c r="D28" s="2"/>
      <c r="E28" s="2"/>
      <c r="F28" s="2"/>
      <c r="G28" s="6"/>
      <c r="H28" s="4"/>
      <c r="I28" s="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5"/>
      <c r="Z28" s="5"/>
      <c r="AA28" s="5"/>
    </row>
    <row r="29" ht="15.75" customHeight="1">
      <c r="A29" s="2"/>
      <c r="B29" s="6"/>
      <c r="C29" s="2"/>
      <c r="D29" s="2"/>
      <c r="E29" s="2"/>
      <c r="F29" s="2"/>
      <c r="G29" s="6"/>
      <c r="H29" s="4"/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5"/>
      <c r="Z29" s="5"/>
      <c r="AA29" s="5"/>
    </row>
    <row r="30" ht="15.75" customHeight="1">
      <c r="A30" s="2"/>
      <c r="B30" s="6"/>
      <c r="C30" s="2"/>
      <c r="D30" s="2"/>
      <c r="E30" s="2"/>
      <c r="F30" s="2"/>
      <c r="G30" s="6"/>
      <c r="H30" s="4"/>
      <c r="I30" s="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5"/>
      <c r="Z30" s="5"/>
      <c r="AA30" s="5"/>
    </row>
    <row r="31" ht="15.75" customHeight="1">
      <c r="A31" s="2"/>
      <c r="B31" s="6"/>
      <c r="C31" s="2"/>
      <c r="D31" s="2"/>
      <c r="E31" s="2"/>
      <c r="F31" s="2"/>
      <c r="G31" s="6"/>
      <c r="H31" s="71" t="s">
        <v>108</v>
      </c>
      <c r="I31" s="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5"/>
      <c r="Z31" s="5"/>
      <c r="AA31" s="5"/>
    </row>
    <row r="32" ht="15.75" customHeight="1">
      <c r="A32" s="2"/>
      <c r="B32" s="6"/>
      <c r="C32" s="2"/>
      <c r="D32" s="2"/>
      <c r="E32" s="2"/>
      <c r="F32" s="2"/>
      <c r="G32" s="6"/>
      <c r="H32" s="4"/>
      <c r="I32" s="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5"/>
      <c r="Z32" s="5"/>
      <c r="AA32" s="5"/>
    </row>
    <row r="33" ht="15.75" customHeight="1">
      <c r="A33" s="2"/>
      <c r="B33" s="6"/>
      <c r="C33" s="2"/>
      <c r="D33" s="2"/>
      <c r="E33" s="2"/>
      <c r="F33" s="2"/>
      <c r="G33" s="6"/>
      <c r="H33" s="4"/>
      <c r="I33" s="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5"/>
      <c r="Z33" s="5"/>
      <c r="AA33" s="5"/>
    </row>
    <row r="34" ht="15.75" customHeight="1">
      <c r="A34" s="2"/>
      <c r="B34" s="6"/>
      <c r="C34" s="2"/>
      <c r="D34" s="2"/>
      <c r="E34" s="2"/>
      <c r="F34" s="2"/>
      <c r="G34" s="6"/>
      <c r="H34" s="4"/>
      <c r="I34" s="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5"/>
      <c r="Z34" s="5"/>
      <c r="AA34" s="5"/>
    </row>
    <row r="35" ht="15.75" customHeight="1">
      <c r="A35" s="2"/>
      <c r="B35" s="6"/>
      <c r="C35" s="2"/>
      <c r="D35" s="2"/>
      <c r="E35" s="2"/>
      <c r="F35" s="2"/>
      <c r="G35" s="6"/>
      <c r="H35" s="4"/>
      <c r="I35" s="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5"/>
      <c r="Z35" s="5"/>
      <c r="AA35" s="5"/>
    </row>
    <row r="36" ht="15.75" customHeight="1">
      <c r="A36" s="2"/>
      <c r="B36" s="6"/>
      <c r="C36" s="2"/>
      <c r="D36" s="2"/>
      <c r="E36" s="2"/>
      <c r="F36" s="2"/>
      <c r="G36" s="6"/>
      <c r="H36" s="4"/>
      <c r="I36" s="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5"/>
      <c r="Z36" s="5"/>
      <c r="AA36" s="5"/>
    </row>
    <row r="37" ht="15.75" customHeight="1">
      <c r="A37" s="2"/>
      <c r="B37" s="6"/>
      <c r="C37" s="2"/>
      <c r="D37" s="2"/>
      <c r="E37" s="2"/>
      <c r="F37" s="2"/>
      <c r="G37" s="6"/>
      <c r="H37" s="4"/>
      <c r="I37" s="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5"/>
      <c r="Z37" s="5"/>
      <c r="AA37" s="5"/>
    </row>
    <row r="38" ht="15.75" customHeight="1">
      <c r="A38" s="2"/>
      <c r="B38" s="6"/>
      <c r="C38" s="2"/>
      <c r="D38" s="2"/>
      <c r="E38" s="2"/>
      <c r="F38" s="2"/>
      <c r="G38" s="6"/>
      <c r="H38" s="4"/>
      <c r="I38" s="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5"/>
      <c r="Z38" s="5"/>
      <c r="AA38" s="5"/>
    </row>
    <row r="39" ht="15.75" customHeight="1">
      <c r="A39" s="2"/>
      <c r="B39" s="6"/>
      <c r="C39" s="2"/>
      <c r="D39" s="2"/>
      <c r="E39" s="2"/>
      <c r="F39" s="2"/>
      <c r="G39" s="6"/>
      <c r="H39" s="4"/>
      <c r="I39" s="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"/>
      <c r="Z39" s="5"/>
      <c r="AA39" s="5"/>
    </row>
    <row r="40" ht="15.75" customHeight="1">
      <c r="A40" s="2"/>
      <c r="B40" s="6"/>
      <c r="C40" s="2"/>
      <c r="D40" s="2"/>
      <c r="E40" s="2"/>
      <c r="F40" s="2"/>
      <c r="G40" s="6"/>
      <c r="H40" s="4"/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  <c r="Z40" s="5"/>
      <c r="AA40" s="5"/>
    </row>
    <row r="41" ht="15.75" customHeight="1">
      <c r="A41" s="2"/>
      <c r="B41" s="6"/>
      <c r="C41" s="2"/>
      <c r="D41" s="2"/>
      <c r="E41" s="2"/>
      <c r="F41" s="2"/>
      <c r="G41" s="6"/>
      <c r="H41" s="4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5"/>
      <c r="Z41" s="5"/>
      <c r="AA41" s="5"/>
    </row>
    <row r="42" ht="15.75" customHeight="1">
      <c r="A42" s="2"/>
      <c r="B42" s="6"/>
      <c r="C42" s="2"/>
      <c r="D42" s="2"/>
      <c r="E42" s="2"/>
      <c r="F42" s="2"/>
      <c r="G42" s="6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5"/>
      <c r="Z42" s="5"/>
      <c r="AA42" s="5"/>
    </row>
    <row r="43" ht="15.75" customHeight="1">
      <c r="A43" s="2"/>
      <c r="B43" s="6"/>
      <c r="C43" s="2"/>
      <c r="D43" s="2"/>
      <c r="E43" s="2"/>
      <c r="F43" s="2"/>
      <c r="G43" s="6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5"/>
      <c r="Z43" s="5"/>
      <c r="AA43" s="5"/>
    </row>
    <row r="44" ht="15.75" customHeight="1">
      <c r="A44" s="2"/>
      <c r="B44" s="6"/>
      <c r="C44" s="2"/>
      <c r="D44" s="2"/>
      <c r="E44" s="2"/>
      <c r="F44" s="2"/>
      <c r="G44" s="6"/>
      <c r="H44" s="4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5"/>
      <c r="Z44" s="5"/>
      <c r="AA44" s="5"/>
    </row>
    <row r="45" ht="15.75" customHeight="1">
      <c r="A45" s="2"/>
      <c r="B45" s="6"/>
      <c r="C45" s="2"/>
      <c r="D45" s="2"/>
      <c r="E45" s="2"/>
      <c r="F45" s="2"/>
      <c r="G45" s="6"/>
      <c r="H45" s="4"/>
      <c r="I45" s="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  <c r="Z45" s="5"/>
      <c r="AA45" s="5"/>
    </row>
    <row r="46" ht="15.75" customHeight="1">
      <c r="A46" s="2"/>
      <c r="B46" s="6"/>
      <c r="C46" s="2"/>
      <c r="D46" s="2"/>
      <c r="E46" s="2"/>
      <c r="F46" s="2"/>
      <c r="G46" s="6"/>
      <c r="H46" s="4"/>
      <c r="I46" s="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5"/>
      <c r="Z46" s="5"/>
      <c r="AA46" s="5"/>
    </row>
    <row r="47" ht="15.75" customHeight="1">
      <c r="A47" s="2"/>
      <c r="B47" s="6"/>
      <c r="C47" s="2"/>
      <c r="D47" s="2"/>
      <c r="E47" s="2"/>
      <c r="F47" s="2"/>
      <c r="G47" s="6"/>
      <c r="H47" s="4"/>
      <c r="I47" s="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5"/>
      <c r="Z47" s="5"/>
      <c r="AA47" s="5"/>
    </row>
    <row r="48" ht="15.75" customHeight="1">
      <c r="A48" s="2"/>
      <c r="B48" s="6"/>
      <c r="C48" s="2"/>
      <c r="D48" s="2"/>
      <c r="E48" s="2"/>
      <c r="F48" s="2"/>
      <c r="G48" s="6"/>
      <c r="H48" s="4"/>
      <c r="I48" s="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5"/>
      <c r="Z48" s="5"/>
      <c r="AA48" s="5"/>
    </row>
    <row r="49" ht="15.75" customHeight="1">
      <c r="A49" s="2"/>
      <c r="B49" s="6"/>
      <c r="C49" s="2"/>
      <c r="D49" s="2"/>
      <c r="E49" s="2"/>
      <c r="F49" s="2"/>
      <c r="G49" s="6"/>
      <c r="H49" s="4"/>
      <c r="I49" s="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5"/>
      <c r="Z49" s="5"/>
      <c r="AA49" s="5"/>
    </row>
    <row r="50" ht="15.75" customHeight="1">
      <c r="A50" s="2"/>
      <c r="B50" s="6"/>
      <c r="C50" s="2"/>
      <c r="D50" s="2"/>
      <c r="E50" s="2"/>
      <c r="F50" s="2"/>
      <c r="G50" s="6"/>
      <c r="H50" s="4"/>
      <c r="I50" s="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5"/>
      <c r="Z50" s="5"/>
      <c r="AA50" s="5"/>
    </row>
    <row r="51" ht="15.75" customHeight="1">
      <c r="A51" s="2"/>
      <c r="B51" s="6"/>
      <c r="C51" s="2"/>
      <c r="D51" s="2"/>
      <c r="E51" s="2"/>
      <c r="F51" s="2"/>
      <c r="G51" s="6"/>
      <c r="H51" s="4"/>
      <c r="I51" s="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5"/>
      <c r="Z51" s="5"/>
      <c r="AA51" s="5"/>
    </row>
    <row r="52" ht="15.75" customHeight="1">
      <c r="A52" s="2"/>
      <c r="B52" s="6"/>
      <c r="C52" s="2"/>
      <c r="D52" s="2"/>
      <c r="E52" s="2"/>
      <c r="F52" s="2"/>
      <c r="G52" s="6"/>
      <c r="H52" s="4"/>
      <c r="I52" s="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5"/>
      <c r="Z52" s="5"/>
      <c r="AA52" s="5"/>
    </row>
    <row r="53" ht="15.75" customHeight="1">
      <c r="A53" s="2"/>
      <c r="B53" s="6"/>
      <c r="C53" s="2"/>
      <c r="D53" s="2"/>
      <c r="E53" s="2"/>
      <c r="F53" s="2"/>
      <c r="G53" s="6"/>
      <c r="H53" s="4"/>
      <c r="I53" s="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5"/>
      <c r="Z53" s="5"/>
      <c r="AA53" s="5"/>
    </row>
    <row r="54" ht="15.75" customHeight="1">
      <c r="A54" s="2"/>
      <c r="B54" s="6"/>
      <c r="C54" s="2"/>
      <c r="D54" s="2"/>
      <c r="E54" s="2"/>
      <c r="F54" s="2"/>
      <c r="G54" s="6"/>
      <c r="H54" s="4"/>
      <c r="I54" s="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5"/>
      <c r="Z54" s="5"/>
      <c r="AA54" s="5"/>
    </row>
    <row r="55" ht="15.75" customHeight="1">
      <c r="A55" s="2"/>
      <c r="B55" s="6"/>
      <c r="C55" s="2"/>
      <c r="D55" s="2"/>
      <c r="E55" s="2"/>
      <c r="F55" s="2"/>
      <c r="G55" s="6"/>
      <c r="H55" s="4"/>
      <c r="I55" s="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5"/>
      <c r="Z55" s="5"/>
      <c r="AA55" s="5"/>
    </row>
    <row r="56" ht="15.75" customHeight="1">
      <c r="A56" s="2"/>
      <c r="B56" s="6"/>
      <c r="C56" s="2"/>
      <c r="D56" s="2"/>
      <c r="E56" s="2"/>
      <c r="F56" s="2"/>
      <c r="G56" s="6"/>
      <c r="H56" s="4"/>
      <c r="I56" s="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5"/>
      <c r="Z56" s="5"/>
      <c r="AA56" s="5"/>
    </row>
    <row r="57" ht="15.75" customHeight="1">
      <c r="A57" s="2"/>
      <c r="B57" s="6"/>
      <c r="C57" s="2"/>
      <c r="D57" s="2"/>
      <c r="E57" s="2"/>
      <c r="F57" s="2"/>
      <c r="G57" s="6"/>
      <c r="H57" s="4"/>
      <c r="I57" s="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5"/>
      <c r="Z57" s="5"/>
      <c r="AA57" s="5"/>
    </row>
    <row r="58" ht="15.75" customHeight="1">
      <c r="A58" s="2"/>
      <c r="B58" s="6"/>
      <c r="C58" s="2"/>
      <c r="D58" s="2"/>
      <c r="E58" s="2"/>
      <c r="F58" s="2"/>
      <c r="G58" s="6"/>
      <c r="H58" s="4"/>
      <c r="I58" s="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5"/>
      <c r="Z58" s="5"/>
      <c r="AA58" s="5"/>
    </row>
    <row r="59" ht="15.75" customHeight="1">
      <c r="A59" s="2"/>
      <c r="B59" s="6"/>
      <c r="C59" s="2"/>
      <c r="D59" s="2"/>
      <c r="E59" s="2"/>
      <c r="F59" s="2"/>
      <c r="G59" s="6"/>
      <c r="H59" s="4"/>
      <c r="I59" s="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5"/>
      <c r="Z59" s="5"/>
      <c r="AA59" s="5"/>
    </row>
    <row r="60" ht="15.75" customHeight="1">
      <c r="A60" s="2"/>
      <c r="B60" s="6"/>
      <c r="C60" s="2"/>
      <c r="D60" s="2"/>
      <c r="E60" s="2"/>
      <c r="F60" s="2"/>
      <c r="G60" s="6"/>
      <c r="H60" s="4"/>
      <c r="I60" s="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5"/>
      <c r="Z60" s="5"/>
      <c r="AA60" s="5"/>
    </row>
    <row r="61" ht="15.75" customHeight="1">
      <c r="A61" s="2"/>
      <c r="B61" s="6"/>
      <c r="C61" s="2"/>
      <c r="D61" s="2"/>
      <c r="E61" s="2"/>
      <c r="F61" s="2"/>
      <c r="G61" s="6"/>
      <c r="H61" s="4"/>
      <c r="I61" s="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5"/>
      <c r="Z61" s="5"/>
      <c r="AA61" s="5"/>
    </row>
    <row r="62" ht="15.75" customHeight="1">
      <c r="A62" s="2"/>
      <c r="B62" s="6"/>
      <c r="C62" s="2"/>
      <c r="D62" s="2"/>
      <c r="E62" s="2"/>
      <c r="F62" s="2"/>
      <c r="G62" s="6"/>
      <c r="H62" s="4"/>
      <c r="I62" s="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5"/>
      <c r="Z62" s="5"/>
      <c r="AA62" s="5"/>
    </row>
    <row r="63" ht="15.75" customHeight="1">
      <c r="A63" s="2"/>
      <c r="B63" s="6"/>
      <c r="C63" s="2"/>
      <c r="D63" s="2"/>
      <c r="E63" s="2"/>
      <c r="F63" s="2"/>
      <c r="G63" s="6"/>
      <c r="H63" s="4"/>
      <c r="I63" s="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5"/>
      <c r="Z63" s="5"/>
      <c r="AA63" s="5"/>
    </row>
    <row r="64" ht="15.75" customHeight="1">
      <c r="A64" s="2"/>
      <c r="B64" s="6"/>
      <c r="C64" s="2"/>
      <c r="D64" s="2"/>
      <c r="E64" s="2"/>
      <c r="F64" s="2"/>
      <c r="G64" s="6"/>
      <c r="H64" s="4"/>
      <c r="I64" s="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5"/>
      <c r="Z64" s="5"/>
      <c r="AA64" s="5"/>
    </row>
    <row r="65" ht="15.75" customHeight="1">
      <c r="A65" s="2"/>
      <c r="B65" s="6"/>
      <c r="C65" s="2"/>
      <c r="D65" s="2"/>
      <c r="E65" s="2"/>
      <c r="F65" s="2"/>
      <c r="G65" s="6"/>
      <c r="H65" s="4"/>
      <c r="I65" s="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5"/>
      <c r="Z65" s="5"/>
      <c r="AA65" s="5"/>
    </row>
    <row r="66" ht="15.75" customHeight="1">
      <c r="A66" s="2"/>
      <c r="B66" s="6"/>
      <c r="C66" s="2"/>
      <c r="D66" s="2"/>
      <c r="E66" s="2"/>
      <c r="F66" s="2"/>
      <c r="G66" s="6"/>
      <c r="H66" s="4"/>
      <c r="I66" s="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5"/>
      <c r="Z66" s="5"/>
      <c r="AA66" s="5"/>
    </row>
    <row r="67" ht="15.75" customHeight="1">
      <c r="A67" s="2"/>
      <c r="B67" s="6"/>
      <c r="C67" s="2"/>
      <c r="D67" s="2"/>
      <c r="E67" s="2"/>
      <c r="F67" s="2"/>
      <c r="G67" s="6"/>
      <c r="H67" s="4"/>
      <c r="I67" s="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5"/>
      <c r="Z67" s="5"/>
      <c r="AA67" s="5"/>
    </row>
    <row r="68" ht="15.75" customHeight="1">
      <c r="A68" s="2"/>
      <c r="B68" s="6"/>
      <c r="C68" s="2"/>
      <c r="D68" s="2"/>
      <c r="E68" s="2"/>
      <c r="F68" s="2"/>
      <c r="G68" s="6"/>
      <c r="H68" s="4"/>
      <c r="I68" s="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5"/>
      <c r="Z68" s="5"/>
      <c r="AA68" s="5"/>
    </row>
    <row r="69" ht="15.75" customHeight="1">
      <c r="A69" s="2"/>
      <c r="B69" s="6"/>
      <c r="C69" s="2"/>
      <c r="D69" s="2"/>
      <c r="E69" s="2"/>
      <c r="F69" s="2"/>
      <c r="G69" s="6"/>
      <c r="H69" s="4"/>
      <c r="I69" s="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5"/>
      <c r="Z69" s="5"/>
      <c r="AA69" s="5"/>
    </row>
    <row r="70" ht="15.75" customHeight="1">
      <c r="A70" s="2"/>
      <c r="B70" s="6"/>
      <c r="C70" s="2"/>
      <c r="D70" s="2"/>
      <c r="E70" s="2"/>
      <c r="F70" s="2"/>
      <c r="G70" s="6"/>
      <c r="H70" s="4"/>
      <c r="I70" s="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5"/>
      <c r="Z70" s="5"/>
      <c r="AA70" s="5"/>
    </row>
    <row r="71" ht="15.75" customHeight="1">
      <c r="A71" s="2"/>
      <c r="B71" s="6"/>
      <c r="C71" s="2"/>
      <c r="D71" s="2"/>
      <c r="E71" s="2"/>
      <c r="F71" s="2"/>
      <c r="G71" s="6"/>
      <c r="H71" s="4"/>
      <c r="I71" s="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5"/>
      <c r="Z71" s="5"/>
      <c r="AA71" s="5"/>
    </row>
    <row r="72" ht="15.75" customHeight="1">
      <c r="A72" s="2"/>
      <c r="B72" s="6"/>
      <c r="C72" s="2"/>
      <c r="D72" s="2"/>
      <c r="E72" s="2"/>
      <c r="F72" s="2"/>
      <c r="G72" s="6"/>
      <c r="H72" s="4"/>
      <c r="I72" s="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5"/>
      <c r="Z72" s="5"/>
      <c r="AA72" s="5"/>
    </row>
    <row r="73" ht="15.75" customHeight="1">
      <c r="A73" s="2"/>
      <c r="B73" s="6"/>
      <c r="C73" s="2"/>
      <c r="D73" s="2"/>
      <c r="E73" s="2"/>
      <c r="F73" s="2"/>
      <c r="G73" s="6"/>
      <c r="H73" s="4"/>
      <c r="I73" s="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5"/>
      <c r="Z73" s="5"/>
      <c r="AA73" s="5"/>
    </row>
    <row r="74" ht="15.75" customHeight="1">
      <c r="A74" s="2"/>
      <c r="B74" s="6"/>
      <c r="C74" s="2"/>
      <c r="D74" s="2"/>
      <c r="E74" s="2"/>
      <c r="F74" s="2"/>
      <c r="G74" s="6"/>
      <c r="H74" s="4"/>
      <c r="I74" s="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5"/>
      <c r="Z74" s="5"/>
      <c r="AA74" s="5"/>
    </row>
    <row r="75" ht="15.75" customHeight="1">
      <c r="A75" s="2"/>
      <c r="B75" s="6"/>
      <c r="C75" s="2"/>
      <c r="D75" s="2"/>
      <c r="E75" s="2"/>
      <c r="F75" s="2"/>
      <c r="G75" s="6"/>
      <c r="H75" s="4"/>
      <c r="I75" s="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5"/>
      <c r="Z75" s="5"/>
      <c r="AA75" s="5"/>
    </row>
    <row r="76" ht="15.75" customHeight="1">
      <c r="A76" s="2"/>
      <c r="B76" s="6"/>
      <c r="C76" s="2"/>
      <c r="D76" s="2"/>
      <c r="E76" s="2"/>
      <c r="F76" s="2"/>
      <c r="G76" s="6"/>
      <c r="H76" s="4"/>
      <c r="I76" s="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5"/>
      <c r="Z76" s="5"/>
      <c r="AA76" s="5"/>
    </row>
    <row r="77" ht="15.75" customHeight="1">
      <c r="A77" s="2"/>
      <c r="B77" s="6"/>
      <c r="C77" s="2"/>
      <c r="D77" s="2"/>
      <c r="E77" s="2"/>
      <c r="F77" s="2"/>
      <c r="G77" s="6"/>
      <c r="H77" s="4"/>
      <c r="I77" s="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5"/>
      <c r="Z77" s="5"/>
      <c r="AA77" s="5"/>
    </row>
    <row r="78" ht="15.75" customHeight="1">
      <c r="A78" s="2"/>
      <c r="B78" s="6"/>
      <c r="C78" s="2"/>
      <c r="D78" s="2"/>
      <c r="E78" s="2"/>
      <c r="F78" s="2"/>
      <c r="G78" s="6"/>
      <c r="H78" s="4"/>
      <c r="I78" s="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5"/>
      <c r="Z78" s="5"/>
      <c r="AA78" s="5"/>
    </row>
    <row r="79" ht="15.75" customHeight="1">
      <c r="A79" s="2"/>
      <c r="B79" s="6"/>
      <c r="C79" s="2"/>
      <c r="D79" s="2"/>
      <c r="E79" s="2"/>
      <c r="F79" s="2"/>
      <c r="G79" s="6"/>
      <c r="H79" s="4"/>
      <c r="I79" s="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5"/>
      <c r="Z79" s="5"/>
      <c r="AA79" s="5"/>
    </row>
    <row r="80" ht="15.75" customHeight="1">
      <c r="A80" s="2"/>
      <c r="B80" s="6"/>
      <c r="C80" s="2"/>
      <c r="D80" s="2"/>
      <c r="E80" s="2"/>
      <c r="F80" s="2"/>
      <c r="G80" s="6"/>
      <c r="H80" s="4"/>
      <c r="I80" s="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  <c r="Z80" s="5"/>
      <c r="AA80" s="5"/>
    </row>
    <row r="81" ht="15.75" customHeight="1">
      <c r="A81" s="2"/>
      <c r="B81" s="6"/>
      <c r="C81" s="2"/>
      <c r="D81" s="2"/>
      <c r="E81" s="2"/>
      <c r="F81" s="2"/>
      <c r="G81" s="6"/>
      <c r="H81" s="4"/>
      <c r="I81" s="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5"/>
      <c r="Z81" s="5"/>
      <c r="AA81" s="5"/>
    </row>
    <row r="82" ht="15.75" customHeight="1">
      <c r="A82" s="2"/>
      <c r="B82" s="6"/>
      <c r="C82" s="2"/>
      <c r="D82" s="2"/>
      <c r="E82" s="2"/>
      <c r="F82" s="2"/>
      <c r="G82" s="6"/>
      <c r="H82" s="4"/>
      <c r="I82" s="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5"/>
      <c r="Z82" s="5"/>
      <c r="AA82" s="5"/>
    </row>
    <row r="83" ht="15.75" customHeight="1">
      <c r="A83" s="2"/>
      <c r="B83" s="6"/>
      <c r="C83" s="2"/>
      <c r="D83" s="2"/>
      <c r="E83" s="2"/>
      <c r="F83" s="2"/>
      <c r="G83" s="6"/>
      <c r="H83" s="4"/>
      <c r="I83" s="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5"/>
      <c r="Z83" s="5"/>
      <c r="AA83" s="5"/>
    </row>
    <row r="84" ht="15.75" customHeight="1">
      <c r="A84" s="2"/>
      <c r="B84" s="6"/>
      <c r="C84" s="2"/>
      <c r="D84" s="2"/>
      <c r="E84" s="2"/>
      <c r="F84" s="2"/>
      <c r="G84" s="6"/>
      <c r="H84" s="4"/>
      <c r="I84" s="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5"/>
      <c r="Z84" s="5"/>
      <c r="AA84" s="5"/>
    </row>
    <row r="85" ht="15.75" customHeight="1">
      <c r="A85" s="2"/>
      <c r="B85" s="6"/>
      <c r="C85" s="2"/>
      <c r="D85" s="2"/>
      <c r="E85" s="2"/>
      <c r="F85" s="2"/>
      <c r="G85" s="6"/>
      <c r="H85" s="4"/>
      <c r="I85" s="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5"/>
      <c r="Z85" s="5"/>
      <c r="AA85" s="5"/>
    </row>
    <row r="86" ht="15.75" customHeight="1">
      <c r="A86" s="2"/>
      <c r="B86" s="6"/>
      <c r="C86" s="2"/>
      <c r="D86" s="2"/>
      <c r="E86" s="2"/>
      <c r="F86" s="2"/>
      <c r="G86" s="6"/>
      <c r="H86" s="4"/>
      <c r="I86" s="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5"/>
      <c r="Z86" s="5"/>
      <c r="AA86" s="5"/>
    </row>
    <row r="87" ht="15.75" customHeight="1">
      <c r="A87" s="2"/>
      <c r="B87" s="6"/>
      <c r="C87" s="2"/>
      <c r="D87" s="2"/>
      <c r="E87" s="2"/>
      <c r="F87" s="2"/>
      <c r="G87" s="6"/>
      <c r="H87" s="4"/>
      <c r="I87" s="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5"/>
      <c r="Z87" s="5"/>
      <c r="AA87" s="5"/>
    </row>
    <row r="88" ht="15.75" customHeight="1">
      <c r="A88" s="2"/>
      <c r="B88" s="6"/>
      <c r="C88" s="2"/>
      <c r="D88" s="2"/>
      <c r="E88" s="2"/>
      <c r="F88" s="2"/>
      <c r="G88" s="6"/>
      <c r="H88" s="4"/>
      <c r="I88" s="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5"/>
      <c r="Z88" s="5"/>
      <c r="AA88" s="5"/>
    </row>
    <row r="89" ht="15.75" customHeight="1">
      <c r="A89" s="2"/>
      <c r="B89" s="6"/>
      <c r="C89" s="2"/>
      <c r="D89" s="2"/>
      <c r="E89" s="2"/>
      <c r="F89" s="2"/>
      <c r="G89" s="6"/>
      <c r="H89" s="4"/>
      <c r="I89" s="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5"/>
      <c r="Z89" s="5"/>
      <c r="AA89" s="5"/>
    </row>
    <row r="90" ht="15.75" customHeight="1">
      <c r="A90" s="2"/>
      <c r="B90" s="6"/>
      <c r="C90" s="2"/>
      <c r="D90" s="2"/>
      <c r="E90" s="2"/>
      <c r="F90" s="2"/>
      <c r="G90" s="6"/>
      <c r="H90" s="4"/>
      <c r="I90" s="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5"/>
      <c r="Z90" s="5"/>
      <c r="AA90" s="5"/>
    </row>
    <row r="91" ht="15.75" customHeight="1">
      <c r="A91" s="2"/>
      <c r="B91" s="6"/>
      <c r="C91" s="2"/>
      <c r="D91" s="2"/>
      <c r="E91" s="2"/>
      <c r="F91" s="2"/>
      <c r="G91" s="6"/>
      <c r="H91" s="4"/>
      <c r="I91" s="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5"/>
      <c r="Z91" s="5"/>
      <c r="AA91" s="5"/>
    </row>
    <row r="92" ht="15.75" customHeight="1">
      <c r="A92" s="2"/>
      <c r="B92" s="6"/>
      <c r="C92" s="2"/>
      <c r="D92" s="2"/>
      <c r="E92" s="2"/>
      <c r="F92" s="2"/>
      <c r="G92" s="6"/>
      <c r="H92" s="4"/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5"/>
      <c r="Z92" s="5"/>
      <c r="AA92" s="5"/>
    </row>
    <row r="93" ht="15.75" customHeight="1">
      <c r="A93" s="2"/>
      <c r="B93" s="6"/>
      <c r="C93" s="2"/>
      <c r="D93" s="2"/>
      <c r="E93" s="2"/>
      <c r="F93" s="2"/>
      <c r="G93" s="6"/>
      <c r="H93" s="4"/>
      <c r="I93" s="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5"/>
      <c r="Z93" s="5"/>
      <c r="AA93" s="5"/>
    </row>
    <row r="94" ht="15.75" customHeight="1">
      <c r="A94" s="2"/>
      <c r="B94" s="6"/>
      <c r="C94" s="2"/>
      <c r="D94" s="2"/>
      <c r="E94" s="2"/>
      <c r="F94" s="2"/>
      <c r="G94" s="6"/>
      <c r="H94" s="4"/>
      <c r="I94" s="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5"/>
      <c r="Z94" s="5"/>
      <c r="AA94" s="5"/>
    </row>
    <row r="95" ht="15.75" customHeight="1">
      <c r="A95" s="2"/>
      <c r="B95" s="6"/>
      <c r="C95" s="2"/>
      <c r="D95" s="2"/>
      <c r="E95" s="2"/>
      <c r="F95" s="2"/>
      <c r="G95" s="6"/>
      <c r="H95" s="4"/>
      <c r="I95" s="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5"/>
      <c r="Z95" s="5"/>
      <c r="AA95" s="5"/>
    </row>
    <row r="96" ht="15.75" customHeight="1">
      <c r="A96" s="2"/>
      <c r="B96" s="6"/>
      <c r="C96" s="2"/>
      <c r="D96" s="2"/>
      <c r="E96" s="2"/>
      <c r="F96" s="2"/>
      <c r="G96" s="6"/>
      <c r="H96" s="4"/>
      <c r="I96" s="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5"/>
      <c r="Z96" s="5"/>
      <c r="AA96" s="5"/>
    </row>
    <row r="97" ht="15.75" customHeight="1">
      <c r="A97" s="2"/>
      <c r="B97" s="6"/>
      <c r="C97" s="2"/>
      <c r="D97" s="2"/>
      <c r="E97" s="2"/>
      <c r="F97" s="2"/>
      <c r="G97" s="6"/>
      <c r="H97" s="4"/>
      <c r="I97" s="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5"/>
      <c r="Z97" s="5"/>
      <c r="AA97" s="5"/>
    </row>
    <row r="98" ht="15.75" customHeight="1">
      <c r="A98" s="2"/>
      <c r="B98" s="6"/>
      <c r="C98" s="2"/>
      <c r="D98" s="2"/>
      <c r="E98" s="2"/>
      <c r="F98" s="2"/>
      <c r="G98" s="6"/>
      <c r="H98" s="4"/>
      <c r="I98" s="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5"/>
      <c r="Z98" s="5"/>
      <c r="AA98" s="5"/>
    </row>
    <row r="99" ht="15.75" customHeight="1">
      <c r="A99" s="2"/>
      <c r="B99" s="6"/>
      <c r="C99" s="2"/>
      <c r="D99" s="2"/>
      <c r="E99" s="2"/>
      <c r="F99" s="2"/>
      <c r="G99" s="6"/>
      <c r="H99" s="4"/>
      <c r="I99" s="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5"/>
      <c r="Z99" s="5"/>
      <c r="AA99" s="5"/>
    </row>
    <row r="100" ht="15.75" customHeight="1">
      <c r="A100" s="2"/>
      <c r="B100" s="6"/>
      <c r="C100" s="2"/>
      <c r="D100" s="2"/>
      <c r="E100" s="2"/>
      <c r="F100" s="2"/>
      <c r="G100" s="6"/>
      <c r="H100" s="4"/>
      <c r="I100" s="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5"/>
      <c r="Z100" s="5"/>
      <c r="AA100" s="5"/>
    </row>
    <row r="101" ht="15.75" customHeight="1">
      <c r="A101" s="2"/>
      <c r="B101" s="6"/>
      <c r="C101" s="2"/>
      <c r="D101" s="2"/>
      <c r="E101" s="2"/>
      <c r="F101" s="2"/>
      <c r="G101" s="6"/>
      <c r="H101" s="4"/>
      <c r="I101" s="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5"/>
      <c r="Z101" s="5"/>
      <c r="AA101" s="5"/>
    </row>
    <row r="102" ht="15.75" customHeight="1">
      <c r="A102" s="2"/>
      <c r="B102" s="6"/>
      <c r="C102" s="2"/>
      <c r="D102" s="2"/>
      <c r="E102" s="2"/>
      <c r="F102" s="2"/>
      <c r="G102" s="6"/>
      <c r="H102" s="4"/>
      <c r="I102" s="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5"/>
      <c r="Z102" s="5"/>
      <c r="AA102" s="5"/>
    </row>
    <row r="103" ht="15.75" customHeight="1">
      <c r="A103" s="2"/>
      <c r="B103" s="6"/>
      <c r="C103" s="2"/>
      <c r="D103" s="2"/>
      <c r="E103" s="2"/>
      <c r="F103" s="2"/>
      <c r="G103" s="6"/>
      <c r="H103" s="4"/>
      <c r="I103" s="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5"/>
      <c r="Z103" s="5"/>
      <c r="AA103" s="5"/>
    </row>
    <row r="104" ht="15.75" customHeight="1">
      <c r="A104" s="2"/>
      <c r="B104" s="6"/>
      <c r="C104" s="2"/>
      <c r="D104" s="2"/>
      <c r="E104" s="2"/>
      <c r="F104" s="2"/>
      <c r="G104" s="6"/>
      <c r="H104" s="4"/>
      <c r="I104" s="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5"/>
      <c r="Z104" s="5"/>
      <c r="AA104" s="5"/>
    </row>
    <row r="105" ht="15.75" customHeight="1">
      <c r="A105" s="2"/>
      <c r="B105" s="6"/>
      <c r="C105" s="2"/>
      <c r="D105" s="2"/>
      <c r="E105" s="2"/>
      <c r="F105" s="2"/>
      <c r="G105" s="6"/>
      <c r="H105" s="4"/>
      <c r="I105" s="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5"/>
      <c r="Z105" s="5"/>
      <c r="AA105" s="5"/>
    </row>
    <row r="106" ht="15.75" customHeight="1">
      <c r="A106" s="2"/>
      <c r="B106" s="6"/>
      <c r="C106" s="2"/>
      <c r="D106" s="2"/>
      <c r="E106" s="2"/>
      <c r="F106" s="2"/>
      <c r="G106" s="6"/>
      <c r="H106" s="4"/>
      <c r="I106" s="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5"/>
      <c r="Z106" s="5"/>
      <c r="AA106" s="5"/>
    </row>
    <row r="107" ht="15.75" customHeight="1">
      <c r="A107" s="2"/>
      <c r="B107" s="6"/>
      <c r="C107" s="2"/>
      <c r="D107" s="2"/>
      <c r="E107" s="2"/>
      <c r="F107" s="2"/>
      <c r="G107" s="6"/>
      <c r="H107" s="4"/>
      <c r="I107" s="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5"/>
      <c r="Z107" s="5"/>
      <c r="AA107" s="5"/>
    </row>
    <row r="108" ht="15.75" customHeight="1">
      <c r="A108" s="2"/>
      <c r="B108" s="6"/>
      <c r="C108" s="2"/>
      <c r="D108" s="2"/>
      <c r="E108" s="2"/>
      <c r="F108" s="2"/>
      <c r="G108" s="6"/>
      <c r="H108" s="4"/>
      <c r="I108" s="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5"/>
      <c r="Z108" s="5"/>
      <c r="AA108" s="5"/>
    </row>
    <row r="109" ht="15.75" customHeight="1">
      <c r="A109" s="2"/>
      <c r="B109" s="6"/>
      <c r="C109" s="2"/>
      <c r="D109" s="2"/>
      <c r="E109" s="2"/>
      <c r="F109" s="2"/>
      <c r="G109" s="6"/>
      <c r="H109" s="4"/>
      <c r="I109" s="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5"/>
      <c r="Z109" s="5"/>
      <c r="AA109" s="5"/>
    </row>
    <row r="110" ht="15.75" customHeight="1">
      <c r="A110" s="2"/>
      <c r="B110" s="6"/>
      <c r="C110" s="2"/>
      <c r="D110" s="2"/>
      <c r="E110" s="2"/>
      <c r="F110" s="2"/>
      <c r="G110" s="6"/>
      <c r="H110" s="4"/>
      <c r="I110" s="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5"/>
      <c r="Z110" s="5"/>
      <c r="AA110" s="5"/>
    </row>
    <row r="111" ht="15.75" customHeight="1">
      <c r="A111" s="2"/>
      <c r="B111" s="6"/>
      <c r="C111" s="2"/>
      <c r="D111" s="2"/>
      <c r="E111" s="2"/>
      <c r="F111" s="2"/>
      <c r="G111" s="6"/>
      <c r="H111" s="4"/>
      <c r="I111" s="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5"/>
      <c r="Z111" s="5"/>
      <c r="AA111" s="5"/>
    </row>
    <row r="112" ht="15.75" customHeight="1">
      <c r="A112" s="2"/>
      <c r="B112" s="6"/>
      <c r="C112" s="2"/>
      <c r="D112" s="2"/>
      <c r="E112" s="2"/>
      <c r="F112" s="2"/>
      <c r="G112" s="6"/>
      <c r="H112" s="4"/>
      <c r="I112" s="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5"/>
      <c r="Z112" s="5"/>
      <c r="AA112" s="5"/>
    </row>
    <row r="113" ht="15.75" customHeight="1">
      <c r="A113" s="2"/>
      <c r="B113" s="6"/>
      <c r="C113" s="2"/>
      <c r="D113" s="2"/>
      <c r="E113" s="2"/>
      <c r="F113" s="2"/>
      <c r="G113" s="6"/>
      <c r="H113" s="4"/>
      <c r="I113" s="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5"/>
      <c r="Z113" s="5"/>
      <c r="AA113" s="5"/>
    </row>
    <row r="114" ht="15.75" customHeight="1">
      <c r="A114" s="2"/>
      <c r="B114" s="6"/>
      <c r="C114" s="2"/>
      <c r="D114" s="2"/>
      <c r="E114" s="2"/>
      <c r="F114" s="2"/>
      <c r="G114" s="6"/>
      <c r="H114" s="4"/>
      <c r="I114" s="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5"/>
      <c r="Z114" s="5"/>
      <c r="AA114" s="5"/>
    </row>
    <row r="115" ht="15.75" customHeight="1">
      <c r="A115" s="2"/>
      <c r="B115" s="6"/>
      <c r="C115" s="2"/>
      <c r="D115" s="2"/>
      <c r="E115" s="2"/>
      <c r="F115" s="2"/>
      <c r="G115" s="6"/>
      <c r="H115" s="4"/>
      <c r="I115" s="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5"/>
      <c r="Z115" s="5"/>
      <c r="AA115" s="5"/>
    </row>
    <row r="116" ht="15.75" customHeight="1">
      <c r="A116" s="2"/>
      <c r="B116" s="6"/>
      <c r="C116" s="2"/>
      <c r="D116" s="2"/>
      <c r="E116" s="2"/>
      <c r="F116" s="2"/>
      <c r="G116" s="6"/>
      <c r="H116" s="4"/>
      <c r="I116" s="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5"/>
      <c r="Z116" s="5"/>
      <c r="AA116" s="5"/>
    </row>
    <row r="117" ht="15.75" customHeight="1">
      <c r="A117" s="2"/>
      <c r="B117" s="6"/>
      <c r="C117" s="2"/>
      <c r="D117" s="2"/>
      <c r="E117" s="2"/>
      <c r="F117" s="2"/>
      <c r="G117" s="6"/>
      <c r="H117" s="4"/>
      <c r="I117" s="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5"/>
      <c r="Z117" s="5"/>
      <c r="AA117" s="5"/>
    </row>
    <row r="118" ht="15.75" customHeight="1">
      <c r="A118" s="2"/>
      <c r="B118" s="6"/>
      <c r="C118" s="2"/>
      <c r="D118" s="2"/>
      <c r="E118" s="2"/>
      <c r="F118" s="2"/>
      <c r="G118" s="6"/>
      <c r="H118" s="4"/>
      <c r="I118" s="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5"/>
      <c r="Z118" s="5"/>
      <c r="AA118" s="5"/>
    </row>
    <row r="119" ht="15.75" customHeight="1">
      <c r="A119" s="2"/>
      <c r="B119" s="6"/>
      <c r="C119" s="2"/>
      <c r="D119" s="2"/>
      <c r="E119" s="2"/>
      <c r="F119" s="2"/>
      <c r="G119" s="6"/>
      <c r="H119" s="4"/>
      <c r="I119" s="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5"/>
      <c r="Z119" s="5"/>
      <c r="AA119" s="5"/>
    </row>
    <row r="120" ht="15.75" customHeight="1">
      <c r="A120" s="2"/>
      <c r="B120" s="6"/>
      <c r="C120" s="2"/>
      <c r="D120" s="2"/>
      <c r="E120" s="2"/>
      <c r="F120" s="2"/>
      <c r="G120" s="6"/>
      <c r="H120" s="4"/>
      <c r="I120" s="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5"/>
      <c r="Z120" s="5"/>
      <c r="AA120" s="5"/>
    </row>
    <row r="121" ht="15.75" customHeight="1">
      <c r="A121" s="2"/>
      <c r="B121" s="6"/>
      <c r="C121" s="2"/>
      <c r="D121" s="2"/>
      <c r="E121" s="2"/>
      <c r="F121" s="2"/>
      <c r="G121" s="6"/>
      <c r="H121" s="4"/>
      <c r="I121" s="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5"/>
      <c r="Z121" s="5"/>
      <c r="AA121" s="5"/>
    </row>
    <row r="122" ht="15.75" customHeight="1">
      <c r="A122" s="2"/>
      <c r="B122" s="6"/>
      <c r="C122" s="2"/>
      <c r="D122" s="2"/>
      <c r="E122" s="2"/>
      <c r="F122" s="2"/>
      <c r="G122" s="6"/>
      <c r="H122" s="4"/>
      <c r="I122" s="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5"/>
      <c r="Z122" s="5"/>
      <c r="AA122" s="5"/>
    </row>
    <row r="123" ht="15.75" customHeight="1">
      <c r="A123" s="2"/>
      <c r="B123" s="6"/>
      <c r="C123" s="2"/>
      <c r="D123" s="2"/>
      <c r="E123" s="2"/>
      <c r="F123" s="2"/>
      <c r="G123" s="6"/>
      <c r="H123" s="4"/>
      <c r="I123" s="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5"/>
      <c r="Z123" s="5"/>
      <c r="AA123" s="5"/>
    </row>
    <row r="124" ht="15.75" customHeight="1">
      <c r="A124" s="2"/>
      <c r="B124" s="6"/>
      <c r="C124" s="2"/>
      <c r="D124" s="2"/>
      <c r="E124" s="2"/>
      <c r="F124" s="2"/>
      <c r="G124" s="6"/>
      <c r="H124" s="4"/>
      <c r="I124" s="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5"/>
      <c r="Z124" s="5"/>
      <c r="AA124" s="5"/>
    </row>
    <row r="125" ht="15.75" customHeight="1">
      <c r="A125" s="2"/>
      <c r="B125" s="6"/>
      <c r="C125" s="2"/>
      <c r="D125" s="2"/>
      <c r="E125" s="2"/>
      <c r="F125" s="2"/>
      <c r="G125" s="6"/>
      <c r="H125" s="4"/>
      <c r="I125" s="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5"/>
      <c r="Z125" s="5"/>
      <c r="AA125" s="5"/>
    </row>
    <row r="126" ht="15.75" customHeight="1">
      <c r="A126" s="2"/>
      <c r="B126" s="6"/>
      <c r="C126" s="2"/>
      <c r="D126" s="2"/>
      <c r="E126" s="2"/>
      <c r="F126" s="2"/>
      <c r="G126" s="6"/>
      <c r="H126" s="4"/>
      <c r="I126" s="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5"/>
      <c r="Z126" s="5"/>
      <c r="AA126" s="5"/>
    </row>
    <row r="127" ht="15.75" customHeight="1">
      <c r="A127" s="2"/>
      <c r="B127" s="6"/>
      <c r="C127" s="2"/>
      <c r="D127" s="2"/>
      <c r="E127" s="2"/>
      <c r="F127" s="2"/>
      <c r="G127" s="6"/>
      <c r="H127" s="4"/>
      <c r="I127" s="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5"/>
      <c r="Z127" s="5"/>
      <c r="AA127" s="5"/>
    </row>
    <row r="128" ht="15.75" customHeight="1">
      <c r="A128" s="2"/>
      <c r="B128" s="6"/>
      <c r="C128" s="2"/>
      <c r="D128" s="2"/>
      <c r="E128" s="2"/>
      <c r="F128" s="2"/>
      <c r="G128" s="6"/>
      <c r="H128" s="4"/>
      <c r="I128" s="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5"/>
      <c r="Z128" s="5"/>
      <c r="AA128" s="5"/>
    </row>
    <row r="129" ht="15.75" customHeight="1">
      <c r="A129" s="2"/>
      <c r="B129" s="6"/>
      <c r="C129" s="2"/>
      <c r="D129" s="2"/>
      <c r="E129" s="2"/>
      <c r="F129" s="2"/>
      <c r="G129" s="6"/>
      <c r="H129" s="4"/>
      <c r="I129" s="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5"/>
      <c r="Z129" s="5"/>
      <c r="AA129" s="5"/>
    </row>
    <row r="130" ht="15.75" customHeight="1">
      <c r="A130" s="2"/>
      <c r="B130" s="6"/>
      <c r="C130" s="2"/>
      <c r="D130" s="2"/>
      <c r="E130" s="2"/>
      <c r="F130" s="2"/>
      <c r="G130" s="6"/>
      <c r="H130" s="4"/>
      <c r="I130" s="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5"/>
      <c r="Z130" s="5"/>
      <c r="AA130" s="5"/>
    </row>
    <row r="131" ht="15.75" customHeight="1">
      <c r="A131" s="2"/>
      <c r="B131" s="6"/>
      <c r="C131" s="2"/>
      <c r="D131" s="2"/>
      <c r="E131" s="2"/>
      <c r="F131" s="2"/>
      <c r="G131" s="6"/>
      <c r="H131" s="4"/>
      <c r="I131" s="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5"/>
      <c r="Z131" s="5"/>
      <c r="AA131" s="5"/>
    </row>
    <row r="132" ht="15.75" customHeight="1">
      <c r="A132" s="2"/>
      <c r="B132" s="6"/>
      <c r="C132" s="2"/>
      <c r="D132" s="2"/>
      <c r="E132" s="2"/>
      <c r="F132" s="2"/>
      <c r="G132" s="6"/>
      <c r="H132" s="4"/>
      <c r="I132" s="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5"/>
      <c r="Z132" s="5"/>
      <c r="AA132" s="5"/>
    </row>
    <row r="133" ht="15.75" customHeight="1">
      <c r="A133" s="2"/>
      <c r="B133" s="6"/>
      <c r="C133" s="2"/>
      <c r="D133" s="2"/>
      <c r="E133" s="2"/>
      <c r="F133" s="2"/>
      <c r="G133" s="6"/>
      <c r="H133" s="4"/>
      <c r="I133" s="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5"/>
      <c r="Z133" s="5"/>
      <c r="AA133" s="5"/>
    </row>
    <row r="134" ht="15.75" customHeight="1">
      <c r="A134" s="2"/>
      <c r="B134" s="6"/>
      <c r="C134" s="2"/>
      <c r="D134" s="2"/>
      <c r="E134" s="2"/>
      <c r="F134" s="2"/>
      <c r="G134" s="6"/>
      <c r="H134" s="4"/>
      <c r="I134" s="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5"/>
      <c r="Z134" s="5"/>
      <c r="AA134" s="5"/>
    </row>
    <row r="135" ht="15.75" customHeight="1">
      <c r="A135" s="2"/>
      <c r="B135" s="6"/>
      <c r="C135" s="2"/>
      <c r="D135" s="2"/>
      <c r="E135" s="2"/>
      <c r="F135" s="2"/>
      <c r="G135" s="6"/>
      <c r="H135" s="4"/>
      <c r="I135" s="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5"/>
      <c r="Z135" s="5"/>
      <c r="AA135" s="5"/>
    </row>
    <row r="136" ht="15.75" customHeight="1">
      <c r="A136" s="2"/>
      <c r="B136" s="6"/>
      <c r="C136" s="2"/>
      <c r="D136" s="2"/>
      <c r="E136" s="2"/>
      <c r="F136" s="2"/>
      <c r="G136" s="6"/>
      <c r="H136" s="4"/>
      <c r="I136" s="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5"/>
      <c r="Z136" s="5"/>
      <c r="AA136" s="5"/>
    </row>
    <row r="137" ht="15.75" customHeight="1">
      <c r="A137" s="2"/>
      <c r="B137" s="6"/>
      <c r="C137" s="2"/>
      <c r="D137" s="2"/>
      <c r="E137" s="2"/>
      <c r="F137" s="2"/>
      <c r="G137" s="6"/>
      <c r="H137" s="4"/>
      <c r="I137" s="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5"/>
      <c r="Z137" s="5"/>
      <c r="AA137" s="5"/>
    </row>
    <row r="138" ht="15.75" customHeight="1">
      <c r="A138" s="2"/>
      <c r="B138" s="6"/>
      <c r="C138" s="2"/>
      <c r="D138" s="2"/>
      <c r="E138" s="2"/>
      <c r="F138" s="2"/>
      <c r="G138" s="6"/>
      <c r="H138" s="4"/>
      <c r="I138" s="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5"/>
      <c r="Z138" s="5"/>
      <c r="AA138" s="5"/>
    </row>
    <row r="139" ht="15.75" customHeight="1">
      <c r="A139" s="2"/>
      <c r="B139" s="6"/>
      <c r="C139" s="2"/>
      <c r="D139" s="2"/>
      <c r="E139" s="2"/>
      <c r="F139" s="2"/>
      <c r="G139" s="6"/>
      <c r="H139" s="4"/>
      <c r="I139" s="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5"/>
      <c r="Z139" s="5"/>
      <c r="AA139" s="5"/>
    </row>
    <row r="140" ht="15.75" customHeight="1">
      <c r="A140" s="2"/>
      <c r="B140" s="6"/>
      <c r="C140" s="2"/>
      <c r="D140" s="2"/>
      <c r="E140" s="2"/>
      <c r="F140" s="2"/>
      <c r="G140" s="6"/>
      <c r="H140" s="4"/>
      <c r="I140" s="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5"/>
      <c r="Z140" s="5"/>
      <c r="AA140" s="5"/>
    </row>
    <row r="141" ht="15.75" customHeight="1">
      <c r="A141" s="2"/>
      <c r="B141" s="6"/>
      <c r="C141" s="2"/>
      <c r="D141" s="2"/>
      <c r="E141" s="2"/>
      <c r="F141" s="2"/>
      <c r="G141" s="6"/>
      <c r="H141" s="4"/>
      <c r="I141" s="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5"/>
      <c r="Z141" s="5"/>
      <c r="AA141" s="5"/>
    </row>
    <row r="142" ht="15.75" customHeight="1">
      <c r="A142" s="2"/>
      <c r="B142" s="6"/>
      <c r="C142" s="2"/>
      <c r="D142" s="2"/>
      <c r="E142" s="2"/>
      <c r="F142" s="2"/>
      <c r="G142" s="6"/>
      <c r="H142" s="4"/>
      <c r="I142" s="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5"/>
      <c r="Z142" s="5"/>
      <c r="AA142" s="5"/>
    </row>
    <row r="143" ht="15.75" customHeight="1">
      <c r="A143" s="2"/>
      <c r="B143" s="6"/>
      <c r="C143" s="2"/>
      <c r="D143" s="2"/>
      <c r="E143" s="2"/>
      <c r="F143" s="2"/>
      <c r="G143" s="6"/>
      <c r="H143" s="4"/>
      <c r="I143" s="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5"/>
      <c r="Z143" s="5"/>
      <c r="AA143" s="5"/>
    </row>
    <row r="144" ht="15.75" customHeight="1">
      <c r="A144" s="2"/>
      <c r="B144" s="6"/>
      <c r="C144" s="2"/>
      <c r="D144" s="2"/>
      <c r="E144" s="2"/>
      <c r="F144" s="2"/>
      <c r="G144" s="6"/>
      <c r="H144" s="4"/>
      <c r="I144" s="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5"/>
      <c r="Z144" s="5"/>
      <c r="AA144" s="5"/>
    </row>
    <row r="145" ht="15.75" customHeight="1">
      <c r="A145" s="2"/>
      <c r="B145" s="6"/>
      <c r="C145" s="2"/>
      <c r="D145" s="2"/>
      <c r="E145" s="2"/>
      <c r="F145" s="2"/>
      <c r="G145" s="6"/>
      <c r="H145" s="4"/>
      <c r="I145" s="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5"/>
      <c r="Z145" s="5"/>
      <c r="AA145" s="5"/>
    </row>
    <row r="146" ht="15.75" customHeight="1">
      <c r="A146" s="2"/>
      <c r="B146" s="6"/>
      <c r="C146" s="2"/>
      <c r="D146" s="2"/>
      <c r="E146" s="2"/>
      <c r="F146" s="2"/>
      <c r="G146" s="6"/>
      <c r="H146" s="4"/>
      <c r="I146" s="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5"/>
      <c r="Z146" s="5"/>
      <c r="AA146" s="5"/>
    </row>
    <row r="147" ht="15.75" customHeight="1">
      <c r="A147" s="2"/>
      <c r="B147" s="6"/>
      <c r="C147" s="2"/>
      <c r="D147" s="2"/>
      <c r="E147" s="2"/>
      <c r="F147" s="2"/>
      <c r="G147" s="6"/>
      <c r="H147" s="4"/>
      <c r="I147" s="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5"/>
      <c r="Z147" s="5"/>
      <c r="AA147" s="5"/>
    </row>
    <row r="148" ht="15.75" customHeight="1">
      <c r="A148" s="2"/>
      <c r="B148" s="6"/>
      <c r="C148" s="2"/>
      <c r="D148" s="2"/>
      <c r="E148" s="2"/>
      <c r="F148" s="2"/>
      <c r="G148" s="6"/>
      <c r="H148" s="4"/>
      <c r="I148" s="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5"/>
      <c r="Z148" s="5"/>
      <c r="AA148" s="5"/>
    </row>
    <row r="149" ht="15.75" customHeight="1">
      <c r="A149" s="2"/>
      <c r="B149" s="6"/>
      <c r="C149" s="2"/>
      <c r="D149" s="2"/>
      <c r="E149" s="2"/>
      <c r="F149" s="2"/>
      <c r="G149" s="6"/>
      <c r="H149" s="4"/>
      <c r="I149" s="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5"/>
      <c r="Z149" s="5"/>
      <c r="AA149" s="5"/>
    </row>
    <row r="150" ht="15.75" customHeight="1">
      <c r="A150" s="2"/>
      <c r="B150" s="6"/>
      <c r="C150" s="2"/>
      <c r="D150" s="2"/>
      <c r="E150" s="2"/>
      <c r="F150" s="2"/>
      <c r="G150" s="6"/>
      <c r="H150" s="4"/>
      <c r="I150" s="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5"/>
      <c r="Z150" s="5"/>
      <c r="AA150" s="5"/>
    </row>
    <row r="151" ht="15.75" customHeight="1">
      <c r="A151" s="2"/>
      <c r="B151" s="6"/>
      <c r="C151" s="2"/>
      <c r="D151" s="2"/>
      <c r="E151" s="2"/>
      <c r="F151" s="2"/>
      <c r="G151" s="6"/>
      <c r="H151" s="4"/>
      <c r="I151" s="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5"/>
      <c r="Z151" s="5"/>
      <c r="AA151" s="5"/>
    </row>
    <row r="152" ht="15.75" customHeight="1">
      <c r="A152" s="2"/>
      <c r="B152" s="6"/>
      <c r="C152" s="2"/>
      <c r="D152" s="2"/>
      <c r="E152" s="2"/>
      <c r="F152" s="2"/>
      <c r="G152" s="6"/>
      <c r="H152" s="4"/>
      <c r="I152" s="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5"/>
      <c r="Z152" s="5"/>
      <c r="AA152" s="5"/>
    </row>
    <row r="153" ht="15.75" customHeight="1">
      <c r="A153" s="2"/>
      <c r="B153" s="6"/>
      <c r="C153" s="2"/>
      <c r="D153" s="2"/>
      <c r="E153" s="2"/>
      <c r="F153" s="2"/>
      <c r="G153" s="6"/>
      <c r="H153" s="4"/>
      <c r="I153" s="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5"/>
      <c r="Z153" s="5"/>
      <c r="AA153" s="5"/>
    </row>
    <row r="154" ht="15.75" customHeight="1">
      <c r="A154" s="2"/>
      <c r="B154" s="6"/>
      <c r="C154" s="2"/>
      <c r="D154" s="2"/>
      <c r="E154" s="2"/>
      <c r="F154" s="2"/>
      <c r="G154" s="6"/>
      <c r="H154" s="4"/>
      <c r="I154" s="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5"/>
      <c r="Z154" s="5"/>
      <c r="AA154" s="5"/>
    </row>
    <row r="155" ht="15.75" customHeight="1">
      <c r="A155" s="2"/>
      <c r="B155" s="6"/>
      <c r="C155" s="2"/>
      <c r="D155" s="2"/>
      <c r="E155" s="2"/>
      <c r="F155" s="2"/>
      <c r="G155" s="6"/>
      <c r="H155" s="4"/>
      <c r="I155" s="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5"/>
      <c r="Z155" s="5"/>
      <c r="AA155" s="5"/>
    </row>
    <row r="156" ht="15.75" customHeight="1">
      <c r="A156" s="2"/>
      <c r="B156" s="6"/>
      <c r="C156" s="2"/>
      <c r="D156" s="2"/>
      <c r="E156" s="2"/>
      <c r="F156" s="2"/>
      <c r="G156" s="6"/>
      <c r="H156" s="4"/>
      <c r="I156" s="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5"/>
      <c r="Z156" s="5"/>
      <c r="AA156" s="5"/>
    </row>
    <row r="157" ht="15.75" customHeight="1">
      <c r="A157" s="2"/>
      <c r="B157" s="6"/>
      <c r="C157" s="2"/>
      <c r="D157" s="2"/>
      <c r="E157" s="2"/>
      <c r="F157" s="2"/>
      <c r="G157" s="6"/>
      <c r="H157" s="4"/>
      <c r="I157" s="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5"/>
      <c r="Z157" s="5"/>
      <c r="AA157" s="5"/>
    </row>
    <row r="158" ht="15.75" customHeight="1">
      <c r="A158" s="2"/>
      <c r="B158" s="6"/>
      <c r="C158" s="2"/>
      <c r="D158" s="2"/>
      <c r="E158" s="2"/>
      <c r="F158" s="2"/>
      <c r="G158" s="6"/>
      <c r="H158" s="4"/>
      <c r="I158" s="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5"/>
      <c r="Z158" s="5"/>
      <c r="AA158" s="5"/>
    </row>
    <row r="159" ht="15.75" customHeight="1">
      <c r="A159" s="2"/>
      <c r="B159" s="6"/>
      <c r="C159" s="2"/>
      <c r="D159" s="2"/>
      <c r="E159" s="2"/>
      <c r="F159" s="2"/>
      <c r="G159" s="6"/>
      <c r="H159" s="4"/>
      <c r="I159" s="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5"/>
      <c r="Z159" s="5"/>
      <c r="AA159" s="5"/>
    </row>
    <row r="160" ht="15.75" customHeight="1">
      <c r="A160" s="2"/>
      <c r="B160" s="6"/>
      <c r="C160" s="2"/>
      <c r="D160" s="2"/>
      <c r="E160" s="2"/>
      <c r="F160" s="2"/>
      <c r="G160" s="6"/>
      <c r="H160" s="4"/>
      <c r="I160" s="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5"/>
      <c r="Z160" s="5"/>
      <c r="AA160" s="5"/>
    </row>
    <row r="161" ht="15.75" customHeight="1">
      <c r="A161" s="2"/>
      <c r="B161" s="6"/>
      <c r="C161" s="2"/>
      <c r="D161" s="2"/>
      <c r="E161" s="2"/>
      <c r="F161" s="2"/>
      <c r="G161" s="6"/>
      <c r="H161" s="4"/>
      <c r="I161" s="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5"/>
      <c r="Z161" s="5"/>
      <c r="AA161" s="5"/>
    </row>
    <row r="162" ht="15.75" customHeight="1">
      <c r="A162" s="2"/>
      <c r="B162" s="6"/>
      <c r="C162" s="2"/>
      <c r="D162" s="2"/>
      <c r="E162" s="2"/>
      <c r="F162" s="2"/>
      <c r="G162" s="6"/>
      <c r="H162" s="4"/>
      <c r="I162" s="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5"/>
      <c r="Z162" s="5"/>
      <c r="AA162" s="5"/>
    </row>
    <row r="163" ht="15.75" customHeight="1">
      <c r="A163" s="2"/>
      <c r="B163" s="6"/>
      <c r="C163" s="2"/>
      <c r="D163" s="2"/>
      <c r="E163" s="2"/>
      <c r="F163" s="2"/>
      <c r="G163" s="6"/>
      <c r="H163" s="4"/>
      <c r="I163" s="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5"/>
      <c r="Z163" s="5"/>
      <c r="AA163" s="5"/>
    </row>
    <row r="164" ht="15.75" customHeight="1">
      <c r="A164" s="2"/>
      <c r="B164" s="6"/>
      <c r="C164" s="2"/>
      <c r="D164" s="2"/>
      <c r="E164" s="2"/>
      <c r="F164" s="2"/>
      <c r="G164" s="6"/>
      <c r="H164" s="4"/>
      <c r="I164" s="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5"/>
      <c r="Z164" s="5"/>
      <c r="AA164" s="5"/>
    </row>
    <row r="165" ht="15.75" customHeight="1">
      <c r="A165" s="2"/>
      <c r="B165" s="6"/>
      <c r="C165" s="2"/>
      <c r="D165" s="2"/>
      <c r="E165" s="2"/>
      <c r="F165" s="2"/>
      <c r="G165" s="6"/>
      <c r="H165" s="4"/>
      <c r="I165" s="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5"/>
      <c r="Z165" s="5"/>
      <c r="AA165" s="5"/>
    </row>
    <row r="166" ht="15.75" customHeight="1">
      <c r="A166" s="2"/>
      <c r="B166" s="6"/>
      <c r="C166" s="2"/>
      <c r="D166" s="2"/>
      <c r="E166" s="2"/>
      <c r="F166" s="2"/>
      <c r="G166" s="6"/>
      <c r="H166" s="4"/>
      <c r="I166" s="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5"/>
      <c r="Z166" s="5"/>
      <c r="AA166" s="5"/>
    </row>
    <row r="167" ht="15.75" customHeight="1">
      <c r="A167" s="2"/>
      <c r="B167" s="6"/>
      <c r="C167" s="2"/>
      <c r="D167" s="2"/>
      <c r="E167" s="2"/>
      <c r="F167" s="2"/>
      <c r="G167" s="6"/>
      <c r="H167" s="4"/>
      <c r="I167" s="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5"/>
      <c r="Z167" s="5"/>
      <c r="AA167" s="5"/>
    </row>
    <row r="168" ht="15.75" customHeight="1">
      <c r="A168" s="2"/>
      <c r="B168" s="6"/>
      <c r="C168" s="2"/>
      <c r="D168" s="2"/>
      <c r="E168" s="2"/>
      <c r="F168" s="2"/>
      <c r="G168" s="6"/>
      <c r="H168" s="4"/>
      <c r="I168" s="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5"/>
      <c r="Z168" s="5"/>
      <c r="AA168" s="5"/>
    </row>
    <row r="169" ht="15.75" customHeight="1">
      <c r="A169" s="2"/>
      <c r="B169" s="6"/>
      <c r="C169" s="2"/>
      <c r="D169" s="2"/>
      <c r="E169" s="2"/>
      <c r="F169" s="2"/>
      <c r="G169" s="6"/>
      <c r="H169" s="4"/>
      <c r="I169" s="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5"/>
      <c r="Z169" s="5"/>
      <c r="AA169" s="5"/>
    </row>
    <row r="170" ht="15.75" customHeight="1">
      <c r="A170" s="2"/>
      <c r="B170" s="6"/>
      <c r="C170" s="2"/>
      <c r="D170" s="2"/>
      <c r="E170" s="2"/>
      <c r="F170" s="2"/>
      <c r="G170" s="6"/>
      <c r="H170" s="4"/>
      <c r="I170" s="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5"/>
      <c r="Z170" s="5"/>
      <c r="AA170" s="5"/>
    </row>
    <row r="171" ht="15.75" customHeight="1">
      <c r="A171" s="2"/>
      <c r="B171" s="6"/>
      <c r="C171" s="2"/>
      <c r="D171" s="2"/>
      <c r="E171" s="2"/>
      <c r="F171" s="2"/>
      <c r="G171" s="6"/>
      <c r="H171" s="4"/>
      <c r="I171" s="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5"/>
      <c r="Z171" s="5"/>
      <c r="AA171" s="5"/>
    </row>
    <row r="172" ht="15.75" customHeight="1">
      <c r="A172" s="2"/>
      <c r="B172" s="6"/>
      <c r="C172" s="2"/>
      <c r="D172" s="2"/>
      <c r="E172" s="2"/>
      <c r="F172" s="2"/>
      <c r="G172" s="6"/>
      <c r="H172" s="4"/>
      <c r="I172" s="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5"/>
      <c r="Z172" s="5"/>
      <c r="AA172" s="5"/>
    </row>
    <row r="173" ht="15.75" customHeight="1">
      <c r="A173" s="2"/>
      <c r="B173" s="6"/>
      <c r="C173" s="2"/>
      <c r="D173" s="2"/>
      <c r="E173" s="2"/>
      <c r="F173" s="2"/>
      <c r="G173" s="6"/>
      <c r="H173" s="4"/>
      <c r="I173" s="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5"/>
      <c r="Z173" s="5"/>
      <c r="AA173" s="5"/>
    </row>
    <row r="174" ht="15.75" customHeight="1">
      <c r="A174" s="2"/>
      <c r="B174" s="6"/>
      <c r="C174" s="2"/>
      <c r="D174" s="2"/>
      <c r="E174" s="2"/>
      <c r="F174" s="2"/>
      <c r="G174" s="6"/>
      <c r="H174" s="4"/>
      <c r="I174" s="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5"/>
      <c r="Z174" s="5"/>
      <c r="AA174" s="5"/>
    </row>
    <row r="175" ht="15.75" customHeight="1">
      <c r="A175" s="2"/>
      <c r="B175" s="6"/>
      <c r="C175" s="2"/>
      <c r="D175" s="2"/>
      <c r="E175" s="2"/>
      <c r="F175" s="2"/>
      <c r="G175" s="6"/>
      <c r="H175" s="4"/>
      <c r="I175" s="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5"/>
      <c r="Z175" s="5"/>
      <c r="AA175" s="5"/>
    </row>
    <row r="176" ht="15.75" customHeight="1">
      <c r="A176" s="2"/>
      <c r="B176" s="6"/>
      <c r="C176" s="2"/>
      <c r="D176" s="2"/>
      <c r="E176" s="2"/>
      <c r="F176" s="2"/>
      <c r="G176" s="6"/>
      <c r="H176" s="4"/>
      <c r="I176" s="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5"/>
      <c r="Z176" s="5"/>
      <c r="AA176" s="5"/>
    </row>
    <row r="177" ht="15.75" customHeight="1">
      <c r="A177" s="2"/>
      <c r="B177" s="6"/>
      <c r="C177" s="2"/>
      <c r="D177" s="2"/>
      <c r="E177" s="2"/>
      <c r="F177" s="2"/>
      <c r="G177" s="6"/>
      <c r="H177" s="4"/>
      <c r="I177" s="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5"/>
      <c r="Z177" s="5"/>
      <c r="AA177" s="5"/>
    </row>
    <row r="178" ht="15.75" customHeight="1">
      <c r="A178" s="2"/>
      <c r="B178" s="6"/>
      <c r="C178" s="2"/>
      <c r="D178" s="2"/>
      <c r="E178" s="2"/>
      <c r="F178" s="2"/>
      <c r="G178" s="6"/>
      <c r="H178" s="4"/>
      <c r="I178" s="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5"/>
      <c r="Z178" s="5"/>
      <c r="AA178" s="5"/>
    </row>
    <row r="179" ht="15.75" customHeight="1">
      <c r="A179" s="2"/>
      <c r="B179" s="6"/>
      <c r="C179" s="2"/>
      <c r="D179" s="2"/>
      <c r="E179" s="2"/>
      <c r="F179" s="2"/>
      <c r="G179" s="6"/>
      <c r="H179" s="4"/>
      <c r="I179" s="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5"/>
      <c r="Z179" s="5"/>
      <c r="AA179" s="5"/>
    </row>
    <row r="180" ht="15.75" customHeight="1">
      <c r="A180" s="2"/>
      <c r="B180" s="6"/>
      <c r="C180" s="2"/>
      <c r="D180" s="2"/>
      <c r="E180" s="2"/>
      <c r="F180" s="2"/>
      <c r="G180" s="6"/>
      <c r="H180" s="4"/>
      <c r="I180" s="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5"/>
      <c r="Z180" s="5"/>
      <c r="AA180" s="5"/>
    </row>
    <row r="181" ht="15.75" customHeight="1">
      <c r="A181" s="2"/>
      <c r="B181" s="6"/>
      <c r="C181" s="2"/>
      <c r="D181" s="2"/>
      <c r="E181" s="2"/>
      <c r="F181" s="2"/>
      <c r="G181" s="6"/>
      <c r="H181" s="4"/>
      <c r="I181" s="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5"/>
      <c r="Z181" s="5"/>
      <c r="AA181" s="5"/>
    </row>
    <row r="182" ht="15.75" customHeight="1">
      <c r="A182" s="2"/>
      <c r="B182" s="6"/>
      <c r="C182" s="2"/>
      <c r="D182" s="2"/>
      <c r="E182" s="2"/>
      <c r="F182" s="2"/>
      <c r="G182" s="6"/>
      <c r="H182" s="4"/>
      <c r="I182" s="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5"/>
      <c r="Z182" s="5"/>
      <c r="AA182" s="5"/>
    </row>
    <row r="183" ht="15.75" customHeight="1">
      <c r="A183" s="2"/>
      <c r="B183" s="6"/>
      <c r="C183" s="2"/>
      <c r="D183" s="2"/>
      <c r="E183" s="2"/>
      <c r="F183" s="2"/>
      <c r="G183" s="6"/>
      <c r="H183" s="4"/>
      <c r="I183" s="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5"/>
      <c r="Z183" s="5"/>
      <c r="AA183" s="5"/>
    </row>
    <row r="184" ht="15.75" customHeight="1">
      <c r="A184" s="2"/>
      <c r="B184" s="6"/>
      <c r="C184" s="2"/>
      <c r="D184" s="2"/>
      <c r="E184" s="2"/>
      <c r="F184" s="2"/>
      <c r="G184" s="6"/>
      <c r="H184" s="4"/>
      <c r="I184" s="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5"/>
      <c r="Z184" s="5"/>
      <c r="AA184" s="5"/>
    </row>
    <row r="185" ht="15.75" customHeight="1">
      <c r="A185" s="2"/>
      <c r="B185" s="6"/>
      <c r="C185" s="2"/>
      <c r="D185" s="2"/>
      <c r="E185" s="2"/>
      <c r="F185" s="2"/>
      <c r="G185" s="6"/>
      <c r="H185" s="4"/>
      <c r="I185" s="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5"/>
      <c r="Z185" s="5"/>
      <c r="AA185" s="5"/>
    </row>
    <row r="186" ht="15.75" customHeight="1">
      <c r="A186" s="2"/>
      <c r="B186" s="6"/>
      <c r="C186" s="2"/>
      <c r="D186" s="2"/>
      <c r="E186" s="2"/>
      <c r="F186" s="2"/>
      <c r="G186" s="6"/>
      <c r="H186" s="4"/>
      <c r="I186" s="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5"/>
      <c r="Z186" s="5"/>
      <c r="AA186" s="5"/>
    </row>
    <row r="187" ht="15.75" customHeight="1">
      <c r="A187" s="2"/>
      <c r="B187" s="6"/>
      <c r="C187" s="2"/>
      <c r="D187" s="2"/>
      <c r="E187" s="2"/>
      <c r="F187" s="2"/>
      <c r="G187" s="6"/>
      <c r="H187" s="4"/>
      <c r="I187" s="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5"/>
      <c r="Z187" s="5"/>
      <c r="AA187" s="5"/>
    </row>
    <row r="188" ht="15.75" customHeight="1">
      <c r="A188" s="2"/>
      <c r="B188" s="6"/>
      <c r="C188" s="2"/>
      <c r="D188" s="2"/>
      <c r="E188" s="2"/>
      <c r="F188" s="2"/>
      <c r="G188" s="6"/>
      <c r="H188" s="4"/>
      <c r="I188" s="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5"/>
      <c r="Z188" s="5"/>
      <c r="AA188" s="5"/>
    </row>
    <row r="189" ht="15.75" customHeight="1">
      <c r="A189" s="2"/>
      <c r="B189" s="6"/>
      <c r="C189" s="2"/>
      <c r="D189" s="2"/>
      <c r="E189" s="2"/>
      <c r="F189" s="2"/>
      <c r="G189" s="6"/>
      <c r="H189" s="4"/>
      <c r="I189" s="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5"/>
      <c r="Z189" s="5"/>
      <c r="AA189" s="5"/>
    </row>
    <row r="190" ht="15.75" customHeight="1">
      <c r="A190" s="2"/>
      <c r="B190" s="6"/>
      <c r="C190" s="2"/>
      <c r="D190" s="2"/>
      <c r="E190" s="2"/>
      <c r="F190" s="2"/>
      <c r="G190" s="6"/>
      <c r="H190" s="4"/>
      <c r="I190" s="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5"/>
      <c r="Z190" s="5"/>
      <c r="AA190" s="5"/>
    </row>
    <row r="191" ht="15.75" customHeight="1">
      <c r="A191" s="2"/>
      <c r="B191" s="6"/>
      <c r="C191" s="2"/>
      <c r="D191" s="2"/>
      <c r="E191" s="2"/>
      <c r="F191" s="2"/>
      <c r="G191" s="6"/>
      <c r="H191" s="4"/>
      <c r="I191" s="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5"/>
      <c r="Z191" s="5"/>
      <c r="AA191" s="5"/>
    </row>
    <row r="192" ht="15.75" customHeight="1">
      <c r="A192" s="2"/>
      <c r="B192" s="6"/>
      <c r="C192" s="2"/>
      <c r="D192" s="2"/>
      <c r="E192" s="2"/>
      <c r="F192" s="2"/>
      <c r="G192" s="6"/>
      <c r="H192" s="4"/>
      <c r="I192" s="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5"/>
      <c r="Z192" s="5"/>
      <c r="AA192" s="5"/>
    </row>
    <row r="193" ht="15.75" customHeight="1">
      <c r="A193" s="2"/>
      <c r="B193" s="6"/>
      <c r="C193" s="2"/>
      <c r="D193" s="2"/>
      <c r="E193" s="2"/>
      <c r="F193" s="2"/>
      <c r="G193" s="6"/>
      <c r="H193" s="4"/>
      <c r="I193" s="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5"/>
      <c r="Z193" s="5"/>
      <c r="AA193" s="5"/>
    </row>
    <row r="194" ht="15.75" customHeight="1">
      <c r="A194" s="2"/>
      <c r="B194" s="6"/>
      <c r="C194" s="2"/>
      <c r="D194" s="2"/>
      <c r="E194" s="2"/>
      <c r="F194" s="2"/>
      <c r="G194" s="6"/>
      <c r="H194" s="4"/>
      <c r="I194" s="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5"/>
      <c r="Z194" s="5"/>
      <c r="AA194" s="5"/>
    </row>
    <row r="195" ht="15.75" customHeight="1">
      <c r="A195" s="2"/>
      <c r="B195" s="6"/>
      <c r="C195" s="2"/>
      <c r="D195" s="2"/>
      <c r="E195" s="2"/>
      <c r="F195" s="2"/>
      <c r="G195" s="6"/>
      <c r="H195" s="4"/>
      <c r="I195" s="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5"/>
      <c r="Z195" s="5"/>
      <c r="AA195" s="5"/>
    </row>
    <row r="196" ht="15.75" customHeight="1">
      <c r="A196" s="2"/>
      <c r="B196" s="6"/>
      <c r="C196" s="2"/>
      <c r="D196" s="2"/>
      <c r="E196" s="2"/>
      <c r="F196" s="2"/>
      <c r="G196" s="6"/>
      <c r="H196" s="4"/>
      <c r="I196" s="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5"/>
      <c r="Z196" s="5"/>
      <c r="AA196" s="5"/>
    </row>
    <row r="197" ht="15.75" customHeight="1">
      <c r="A197" s="2"/>
      <c r="B197" s="6"/>
      <c r="C197" s="2"/>
      <c r="D197" s="2"/>
      <c r="E197" s="2"/>
      <c r="F197" s="2"/>
      <c r="G197" s="6"/>
      <c r="H197" s="4"/>
      <c r="I197" s="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5"/>
      <c r="Z197" s="5"/>
      <c r="AA197" s="5"/>
    </row>
    <row r="198" ht="15.75" customHeight="1">
      <c r="A198" s="2"/>
      <c r="B198" s="6"/>
      <c r="C198" s="2"/>
      <c r="D198" s="2"/>
      <c r="E198" s="2"/>
      <c r="F198" s="2"/>
      <c r="G198" s="6"/>
      <c r="H198" s="4"/>
      <c r="I198" s="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5"/>
      <c r="Z198" s="5"/>
      <c r="AA198" s="5"/>
    </row>
    <row r="199" ht="15.75" customHeight="1">
      <c r="A199" s="2"/>
      <c r="B199" s="6"/>
      <c r="C199" s="2"/>
      <c r="D199" s="2"/>
      <c r="E199" s="2"/>
      <c r="F199" s="2"/>
      <c r="G199" s="6"/>
      <c r="H199" s="4"/>
      <c r="I199" s="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5"/>
      <c r="Z199" s="5"/>
      <c r="AA199" s="5"/>
    </row>
    <row r="200" ht="15.75" customHeight="1">
      <c r="A200" s="2"/>
      <c r="B200" s="6"/>
      <c r="C200" s="2"/>
      <c r="D200" s="2"/>
      <c r="E200" s="2"/>
      <c r="F200" s="2"/>
      <c r="G200" s="6"/>
      <c r="H200" s="4"/>
      <c r="I200" s="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5"/>
      <c r="Z200" s="5"/>
      <c r="AA200" s="5"/>
    </row>
    <row r="201" ht="15.75" customHeight="1">
      <c r="A201" s="2"/>
      <c r="B201" s="6"/>
      <c r="C201" s="2"/>
      <c r="D201" s="2"/>
      <c r="E201" s="2"/>
      <c r="F201" s="2"/>
      <c r="G201" s="6"/>
      <c r="H201" s="4"/>
      <c r="I201" s="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5"/>
      <c r="Z201" s="5"/>
      <c r="AA201" s="5"/>
    </row>
    <row r="202" ht="15.75" customHeight="1">
      <c r="A202" s="2"/>
      <c r="B202" s="6"/>
      <c r="C202" s="2"/>
      <c r="D202" s="2"/>
      <c r="E202" s="2"/>
      <c r="F202" s="2"/>
      <c r="G202" s="6"/>
      <c r="H202" s="4"/>
      <c r="I202" s="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5"/>
      <c r="Z202" s="5"/>
      <c r="AA202" s="5"/>
    </row>
    <row r="203" ht="15.75" customHeight="1">
      <c r="A203" s="2"/>
      <c r="B203" s="6"/>
      <c r="C203" s="2"/>
      <c r="D203" s="2"/>
      <c r="E203" s="2"/>
      <c r="F203" s="2"/>
      <c r="G203" s="6"/>
      <c r="H203" s="4"/>
      <c r="I203" s="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5"/>
      <c r="Z203" s="5"/>
      <c r="AA203" s="5"/>
    </row>
    <row r="204" ht="15.75" customHeight="1">
      <c r="A204" s="2"/>
      <c r="B204" s="6"/>
      <c r="C204" s="2"/>
      <c r="D204" s="2"/>
      <c r="E204" s="2"/>
      <c r="F204" s="2"/>
      <c r="G204" s="6"/>
      <c r="H204" s="4"/>
      <c r="I204" s="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5"/>
      <c r="Z204" s="5"/>
      <c r="AA204" s="5"/>
    </row>
    <row r="205" ht="15.75" customHeight="1">
      <c r="A205" s="2"/>
      <c r="B205" s="6"/>
      <c r="C205" s="2"/>
      <c r="D205" s="2"/>
      <c r="E205" s="2"/>
      <c r="F205" s="2"/>
      <c r="G205" s="6"/>
      <c r="H205" s="4"/>
      <c r="I205" s="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5"/>
      <c r="Z205" s="5"/>
      <c r="AA205" s="5"/>
    </row>
    <row r="206" ht="15.75" customHeight="1">
      <c r="A206" s="2"/>
      <c r="B206" s="6"/>
      <c r="C206" s="2"/>
      <c r="D206" s="2"/>
      <c r="E206" s="2"/>
      <c r="F206" s="2"/>
      <c r="G206" s="6"/>
      <c r="H206" s="4"/>
      <c r="I206" s="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5"/>
      <c r="Z206" s="5"/>
      <c r="AA206" s="5"/>
    </row>
    <row r="207" ht="15.75" customHeight="1">
      <c r="A207" s="2"/>
      <c r="B207" s="6"/>
      <c r="C207" s="2"/>
      <c r="D207" s="2"/>
      <c r="E207" s="2"/>
      <c r="F207" s="2"/>
      <c r="G207" s="6"/>
      <c r="H207" s="4"/>
      <c r="I207" s="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5"/>
      <c r="Z207" s="5"/>
      <c r="AA207" s="5"/>
    </row>
    <row r="208" ht="15.75" customHeight="1">
      <c r="A208" s="2"/>
      <c r="B208" s="6"/>
      <c r="C208" s="2"/>
      <c r="D208" s="2"/>
      <c r="E208" s="2"/>
      <c r="F208" s="2"/>
      <c r="G208" s="6"/>
      <c r="H208" s="4"/>
      <c r="I208" s="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5"/>
      <c r="Z208" s="5"/>
      <c r="AA208" s="5"/>
    </row>
    <row r="209" ht="15.75" customHeight="1">
      <c r="A209" s="2"/>
      <c r="B209" s="6"/>
      <c r="C209" s="2"/>
      <c r="D209" s="2"/>
      <c r="E209" s="2"/>
      <c r="F209" s="2"/>
      <c r="G209" s="6"/>
      <c r="H209" s="4"/>
      <c r="I209" s="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5"/>
      <c r="Z209" s="5"/>
      <c r="AA209" s="5"/>
    </row>
    <row r="210" ht="15.75" customHeight="1">
      <c r="A210" s="2"/>
      <c r="B210" s="6"/>
      <c r="C210" s="2"/>
      <c r="D210" s="2"/>
      <c r="E210" s="2"/>
      <c r="F210" s="2"/>
      <c r="G210" s="6"/>
      <c r="H210" s="4"/>
      <c r="I210" s="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5"/>
      <c r="Z210" s="5"/>
      <c r="AA210" s="5"/>
    </row>
    <row r="211" ht="15.75" customHeight="1">
      <c r="A211" s="2"/>
      <c r="B211" s="6"/>
      <c r="C211" s="2"/>
      <c r="D211" s="2"/>
      <c r="E211" s="2"/>
      <c r="F211" s="2"/>
      <c r="G211" s="6"/>
      <c r="H211" s="4"/>
      <c r="I211" s="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5"/>
      <c r="Z211" s="5"/>
      <c r="AA211" s="5"/>
    </row>
    <row r="212" ht="15.75" customHeight="1">
      <c r="A212" s="2"/>
      <c r="B212" s="6"/>
      <c r="C212" s="2"/>
      <c r="D212" s="2"/>
      <c r="E212" s="2"/>
      <c r="F212" s="2"/>
      <c r="G212" s="6"/>
      <c r="H212" s="4"/>
      <c r="I212" s="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5"/>
      <c r="Z212" s="5"/>
      <c r="AA212" s="5"/>
    </row>
    <row r="213" ht="15.75" customHeight="1">
      <c r="A213" s="2"/>
      <c r="B213" s="6"/>
      <c r="C213" s="2"/>
      <c r="D213" s="2"/>
      <c r="E213" s="2"/>
      <c r="F213" s="2"/>
      <c r="G213" s="6"/>
      <c r="H213" s="4"/>
      <c r="I213" s="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5"/>
      <c r="Z213" s="5"/>
      <c r="AA213" s="5"/>
    </row>
    <row r="214" ht="15.75" customHeight="1">
      <c r="A214" s="2"/>
      <c r="B214" s="6"/>
      <c r="C214" s="2"/>
      <c r="D214" s="2"/>
      <c r="E214" s="2"/>
      <c r="F214" s="2"/>
      <c r="G214" s="6"/>
      <c r="H214" s="4"/>
      <c r="I214" s="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5"/>
      <c r="Z214" s="5"/>
      <c r="AA214" s="5"/>
    </row>
    <row r="215" ht="15.75" customHeight="1">
      <c r="A215" s="2"/>
      <c r="B215" s="6"/>
      <c r="C215" s="2"/>
      <c r="D215" s="2"/>
      <c r="E215" s="2"/>
      <c r="F215" s="2"/>
      <c r="G215" s="6"/>
      <c r="H215" s="4"/>
      <c r="I215" s="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5"/>
      <c r="Z215" s="5"/>
      <c r="AA215" s="5"/>
    </row>
    <row r="216" ht="15.75" customHeight="1">
      <c r="A216" s="2"/>
      <c r="B216" s="6"/>
      <c r="C216" s="2"/>
      <c r="D216" s="2"/>
      <c r="E216" s="2"/>
      <c r="F216" s="2"/>
      <c r="G216" s="6"/>
      <c r="H216" s="4"/>
      <c r="I216" s="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5"/>
      <c r="Z216" s="5"/>
      <c r="AA216" s="5"/>
    </row>
    <row r="217" ht="15.75" customHeight="1">
      <c r="A217" s="2"/>
      <c r="B217" s="6"/>
      <c r="C217" s="2"/>
      <c r="D217" s="2"/>
      <c r="E217" s="2"/>
      <c r="F217" s="2"/>
      <c r="G217" s="6"/>
      <c r="H217" s="4"/>
      <c r="I217" s="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5"/>
      <c r="Z217" s="5"/>
      <c r="AA217" s="5"/>
    </row>
    <row r="218" ht="15.75" customHeight="1">
      <c r="A218" s="2"/>
      <c r="B218" s="6"/>
      <c r="C218" s="2"/>
      <c r="D218" s="2"/>
      <c r="E218" s="2"/>
      <c r="F218" s="2"/>
      <c r="G218" s="6"/>
      <c r="H218" s="4"/>
      <c r="I218" s="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5"/>
      <c r="Z218" s="5"/>
      <c r="AA218" s="5"/>
    </row>
    <row r="219" ht="15.75" customHeight="1">
      <c r="A219" s="2"/>
      <c r="B219" s="6"/>
      <c r="C219" s="2"/>
      <c r="D219" s="2"/>
      <c r="E219" s="2"/>
      <c r="F219" s="2"/>
      <c r="G219" s="6"/>
      <c r="H219" s="4"/>
      <c r="I219" s="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5"/>
      <c r="Z219" s="5"/>
      <c r="AA219" s="5"/>
    </row>
    <row r="220" ht="15.75" customHeight="1">
      <c r="A220" s="2"/>
      <c r="B220" s="6"/>
      <c r="C220" s="2"/>
      <c r="D220" s="2"/>
      <c r="E220" s="2"/>
      <c r="F220" s="2"/>
      <c r="G220" s="6"/>
      <c r="H220" s="4"/>
      <c r="I220" s="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5"/>
      <c r="Z220" s="5"/>
      <c r="AA220" s="5"/>
    </row>
    <row r="221" ht="15.75" customHeight="1">
      <c r="A221" s="2"/>
      <c r="B221" s="6"/>
      <c r="C221" s="2"/>
      <c r="D221" s="2"/>
      <c r="E221" s="2"/>
      <c r="F221" s="2"/>
      <c r="G221" s="6"/>
      <c r="H221" s="4"/>
      <c r="I221" s="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5"/>
      <c r="Z221" s="5"/>
      <c r="AA221" s="5"/>
    </row>
    <row r="222" ht="15.75" customHeight="1">
      <c r="A222" s="2"/>
      <c r="B222" s="6"/>
      <c r="C222" s="2"/>
      <c r="D222" s="2"/>
      <c r="E222" s="2"/>
      <c r="F222" s="2"/>
      <c r="G222" s="6"/>
      <c r="H222" s="4"/>
      <c r="I222" s="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5"/>
      <c r="Z222" s="5"/>
      <c r="AA222" s="5"/>
    </row>
    <row r="223" ht="15.75" customHeight="1">
      <c r="A223" s="2"/>
      <c r="B223" s="6"/>
      <c r="C223" s="2"/>
      <c r="D223" s="2"/>
      <c r="E223" s="2"/>
      <c r="F223" s="2"/>
      <c r="G223" s="6"/>
      <c r="H223" s="4"/>
      <c r="I223" s="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4"/>
      <c r="J224" s="5"/>
      <c r="K224" s="5"/>
      <c r="L224" s="5"/>
      <c r="M224" s="5"/>
      <c r="N224" s="5"/>
      <c r="O224" s="2"/>
      <c r="P224" s="2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2"/>
      <c r="P225" s="2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2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2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</sheetData>
  <mergeCells count="65">
    <mergeCell ref="H11:H12"/>
    <mergeCell ref="J11:J12"/>
    <mergeCell ref="A11:A12"/>
    <mergeCell ref="B11:B12"/>
    <mergeCell ref="C11:C12"/>
    <mergeCell ref="D11:D12"/>
    <mergeCell ref="E11:E12"/>
    <mergeCell ref="F11:F12"/>
    <mergeCell ref="G11:G12"/>
    <mergeCell ref="H15:H17"/>
    <mergeCell ref="J15:J17"/>
    <mergeCell ref="K15:K17"/>
    <mergeCell ref="O23:O24"/>
    <mergeCell ref="P23:P24"/>
    <mergeCell ref="A15:A17"/>
    <mergeCell ref="B15:B17"/>
    <mergeCell ref="C15:C17"/>
    <mergeCell ref="D15:D17"/>
    <mergeCell ref="E15:E17"/>
    <mergeCell ref="F15:F17"/>
    <mergeCell ref="G15:G17"/>
    <mergeCell ref="H4:H6"/>
    <mergeCell ref="J4:J6"/>
    <mergeCell ref="K4:K6"/>
    <mergeCell ref="Q4:Q5"/>
    <mergeCell ref="R4:R5"/>
    <mergeCell ref="A4:A6"/>
    <mergeCell ref="B4:B6"/>
    <mergeCell ref="C4:C6"/>
    <mergeCell ref="D4:D6"/>
    <mergeCell ref="E4:E6"/>
    <mergeCell ref="F4:F6"/>
    <mergeCell ref="G4:G6"/>
    <mergeCell ref="A1:C1"/>
    <mergeCell ref="H7:H8"/>
    <mergeCell ref="J7:J8"/>
    <mergeCell ref="K7:K8"/>
    <mergeCell ref="P7:P8"/>
    <mergeCell ref="A7:A8"/>
    <mergeCell ref="B7:B8"/>
    <mergeCell ref="C7:C8"/>
    <mergeCell ref="D7:D8"/>
    <mergeCell ref="E7:E8"/>
    <mergeCell ref="F7:F8"/>
    <mergeCell ref="G7:G8"/>
    <mergeCell ref="H9:H10"/>
    <mergeCell ref="J9:J10"/>
    <mergeCell ref="K9:K10"/>
    <mergeCell ref="O9:O10"/>
    <mergeCell ref="R9:R10"/>
    <mergeCell ref="A9:A10"/>
    <mergeCell ref="B9:B10"/>
    <mergeCell ref="C9:C10"/>
    <mergeCell ref="D9:D10"/>
    <mergeCell ref="E9:E10"/>
    <mergeCell ref="F9:F10"/>
    <mergeCell ref="G9:G10"/>
    <mergeCell ref="A13:A14"/>
    <mergeCell ref="B13:B14"/>
    <mergeCell ref="C13:C14"/>
    <mergeCell ref="D13:D14"/>
    <mergeCell ref="E13:E14"/>
    <mergeCell ref="F13:F14"/>
    <mergeCell ref="G13:G14"/>
    <mergeCell ref="H13:H14"/>
  </mergeCells>
  <dataValidations>
    <dataValidation type="custom" allowBlank="1" showDropDown="1" sqref="L7:M9 L10 L13:M14 O13:O14">
      <formula1>OR(NOT(ISERROR(DATEVALUE(L7))), AND(ISNUMBER(L7), LEFT(CELL("format", L7))="D"))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25"/>
    <col customWidth="1" min="3" max="3" width="30.13"/>
    <col customWidth="1" min="4" max="5" width="24.38"/>
    <col customWidth="1" min="8" max="8" width="35.25"/>
    <col customWidth="1" min="9" max="9" width="45.88"/>
    <col customWidth="1" min="16" max="16" width="19.63"/>
  </cols>
  <sheetData>
    <row r="1">
      <c r="A1" s="72" t="s">
        <v>0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</row>
    <row r="3">
      <c r="A3" s="74" t="s">
        <v>2</v>
      </c>
      <c r="B3" s="74" t="s">
        <v>3</v>
      </c>
      <c r="C3" s="74" t="s">
        <v>4</v>
      </c>
      <c r="D3" s="74" t="s">
        <v>5</v>
      </c>
      <c r="E3" s="75" t="s">
        <v>6</v>
      </c>
      <c r="F3" s="74" t="s">
        <v>7</v>
      </c>
      <c r="G3" s="74" t="s">
        <v>109</v>
      </c>
      <c r="H3" s="74" t="s">
        <v>9</v>
      </c>
      <c r="I3" s="76" t="s">
        <v>10</v>
      </c>
      <c r="J3" s="74" t="s">
        <v>110</v>
      </c>
      <c r="K3" s="74" t="s">
        <v>12</v>
      </c>
      <c r="L3" s="74" t="s">
        <v>111</v>
      </c>
      <c r="M3" s="74" t="s">
        <v>112</v>
      </c>
      <c r="N3" s="74" t="s">
        <v>113</v>
      </c>
      <c r="O3" s="74" t="s">
        <v>16</v>
      </c>
      <c r="P3" s="74" t="s">
        <v>17</v>
      </c>
      <c r="Q3" s="74" t="s">
        <v>18</v>
      </c>
      <c r="R3" s="74" t="s">
        <v>19</v>
      </c>
      <c r="S3" s="77" t="s">
        <v>114</v>
      </c>
      <c r="T3" s="73"/>
      <c r="U3" s="73"/>
      <c r="V3" s="73"/>
      <c r="W3" s="73"/>
      <c r="X3" s="73"/>
      <c r="Y3" s="73"/>
    </row>
    <row r="4">
      <c r="A4" s="78">
        <v>1.0</v>
      </c>
      <c r="B4" s="79" t="s">
        <v>115</v>
      </c>
      <c r="C4" s="80" t="s">
        <v>116</v>
      </c>
      <c r="D4" s="81" t="s">
        <v>116</v>
      </c>
      <c r="E4" s="81" t="s">
        <v>117</v>
      </c>
      <c r="F4" s="82" t="s">
        <v>118</v>
      </c>
      <c r="G4" s="82" t="s">
        <v>119</v>
      </c>
      <c r="H4" s="80" t="s">
        <v>120</v>
      </c>
      <c r="I4" s="83" t="s">
        <v>121</v>
      </c>
      <c r="J4" s="84" t="s">
        <v>55</v>
      </c>
      <c r="K4" s="85" t="s">
        <v>122</v>
      </c>
      <c r="L4" s="86">
        <v>46034.0</v>
      </c>
      <c r="M4" s="87">
        <v>46265.0</v>
      </c>
      <c r="N4" s="88">
        <f t="shared" ref="N4:N17" si="1">INT(NETWORKDAYS(L4,M4)/5)</f>
        <v>33</v>
      </c>
      <c r="O4" s="89" t="s">
        <v>123</v>
      </c>
      <c r="P4" s="83" t="s">
        <v>124</v>
      </c>
      <c r="Q4" s="90"/>
      <c r="R4" s="90"/>
      <c r="S4" s="90"/>
      <c r="T4" s="91"/>
      <c r="U4" s="91"/>
      <c r="V4" s="91"/>
      <c r="W4" s="91"/>
      <c r="X4" s="91"/>
      <c r="Y4" s="91"/>
    </row>
    <row r="5">
      <c r="A5" s="24"/>
      <c r="B5" s="24"/>
      <c r="C5" s="24"/>
      <c r="D5" s="24"/>
      <c r="E5" s="24"/>
      <c r="F5" s="24"/>
      <c r="G5" s="24"/>
      <c r="H5" s="24"/>
      <c r="I5" s="92" t="s">
        <v>125</v>
      </c>
      <c r="J5" s="24"/>
      <c r="K5" s="85" t="s">
        <v>126</v>
      </c>
      <c r="L5" s="87">
        <v>46113.0</v>
      </c>
      <c r="M5" s="87">
        <v>46265.0</v>
      </c>
      <c r="N5" s="88">
        <f t="shared" si="1"/>
        <v>21</v>
      </c>
      <c r="O5" s="89" t="s">
        <v>127</v>
      </c>
      <c r="P5" s="92" t="s">
        <v>128</v>
      </c>
      <c r="Q5" s="90"/>
      <c r="R5" s="90"/>
      <c r="S5" s="90"/>
      <c r="T5" s="91"/>
      <c r="U5" s="91"/>
      <c r="V5" s="91"/>
      <c r="W5" s="91"/>
      <c r="X5" s="91"/>
      <c r="Y5" s="91"/>
    </row>
    <row r="6">
      <c r="A6" s="24"/>
      <c r="B6" s="24"/>
      <c r="C6" s="24"/>
      <c r="D6" s="24"/>
      <c r="E6" s="24"/>
      <c r="F6" s="24"/>
      <c r="G6" s="24"/>
      <c r="H6" s="24"/>
      <c r="I6" s="92" t="s">
        <v>129</v>
      </c>
      <c r="J6" s="24"/>
      <c r="K6" s="93" t="s">
        <v>130</v>
      </c>
      <c r="L6" s="87">
        <v>46113.0</v>
      </c>
      <c r="M6" s="87">
        <v>46265.0</v>
      </c>
      <c r="N6" s="88">
        <f t="shared" si="1"/>
        <v>21</v>
      </c>
      <c r="O6" s="89" t="s">
        <v>58</v>
      </c>
      <c r="P6" s="93" t="s">
        <v>58</v>
      </c>
      <c r="Q6" s="90"/>
      <c r="R6" s="90"/>
      <c r="S6" s="90"/>
      <c r="T6" s="91"/>
      <c r="U6" s="91"/>
      <c r="V6" s="91"/>
      <c r="W6" s="91"/>
      <c r="X6" s="91"/>
      <c r="Y6" s="91"/>
    </row>
    <row r="7">
      <c r="A7" s="24"/>
      <c r="B7" s="24"/>
      <c r="C7" s="24"/>
      <c r="D7" s="24"/>
      <c r="E7" s="24"/>
      <c r="F7" s="24"/>
      <c r="G7" s="24"/>
      <c r="H7" s="24"/>
      <c r="I7" s="83" t="s">
        <v>131</v>
      </c>
      <c r="J7" s="24"/>
      <c r="K7" s="94" t="s">
        <v>132</v>
      </c>
      <c r="L7" s="87">
        <v>46266.0</v>
      </c>
      <c r="M7" s="87">
        <v>46295.0</v>
      </c>
      <c r="N7" s="88">
        <f t="shared" si="1"/>
        <v>4</v>
      </c>
      <c r="O7" s="89" t="s">
        <v>58</v>
      </c>
      <c r="P7" s="93" t="s">
        <v>58</v>
      </c>
      <c r="Q7" s="90"/>
      <c r="R7" s="90"/>
      <c r="S7" s="90"/>
      <c r="T7" s="91"/>
      <c r="U7" s="91"/>
      <c r="V7" s="91"/>
      <c r="W7" s="91"/>
      <c r="X7" s="91"/>
      <c r="Y7" s="91"/>
    </row>
    <row r="8">
      <c r="A8" s="26"/>
      <c r="B8" s="26"/>
      <c r="C8" s="26"/>
      <c r="D8" s="26"/>
      <c r="E8" s="26"/>
      <c r="F8" s="26"/>
      <c r="G8" s="26"/>
      <c r="H8" s="26"/>
      <c r="I8" s="92" t="s">
        <v>133</v>
      </c>
      <c r="J8" s="26"/>
      <c r="K8" s="94" t="s">
        <v>132</v>
      </c>
      <c r="L8" s="87">
        <v>46296.0</v>
      </c>
      <c r="M8" s="87">
        <v>46326.0</v>
      </c>
      <c r="N8" s="88">
        <f t="shared" si="1"/>
        <v>4</v>
      </c>
      <c r="O8" s="89" t="s">
        <v>134</v>
      </c>
      <c r="P8" s="92" t="s">
        <v>135</v>
      </c>
      <c r="Q8" s="90"/>
      <c r="R8" s="90"/>
      <c r="S8" s="90"/>
      <c r="T8" s="91"/>
      <c r="U8" s="91"/>
      <c r="V8" s="91"/>
      <c r="W8" s="91"/>
      <c r="X8" s="91"/>
      <c r="Y8" s="91"/>
    </row>
    <row r="9">
      <c r="A9" s="78">
        <v>2.0</v>
      </c>
      <c r="B9" s="84" t="s">
        <v>136</v>
      </c>
      <c r="C9" s="80" t="s">
        <v>137</v>
      </c>
      <c r="D9" s="80" t="s">
        <v>137</v>
      </c>
      <c r="E9" s="95"/>
      <c r="F9" s="80" t="s">
        <v>138</v>
      </c>
      <c r="G9" s="96" t="s">
        <v>139</v>
      </c>
      <c r="H9" s="80" t="s">
        <v>140</v>
      </c>
      <c r="I9" s="92" t="s">
        <v>141</v>
      </c>
      <c r="J9" s="84" t="s">
        <v>142</v>
      </c>
      <c r="K9" s="84" t="s">
        <v>143</v>
      </c>
      <c r="L9" s="87">
        <v>46023.0</v>
      </c>
      <c r="M9" s="87">
        <v>46112.0</v>
      </c>
      <c r="N9" s="88">
        <f t="shared" si="1"/>
        <v>12</v>
      </c>
      <c r="O9" s="97"/>
      <c r="P9" s="90"/>
      <c r="Q9" s="84" t="s">
        <v>144</v>
      </c>
      <c r="R9" s="90"/>
      <c r="S9" s="90"/>
      <c r="T9" s="91"/>
      <c r="U9" s="91"/>
      <c r="V9" s="91"/>
      <c r="W9" s="91"/>
      <c r="X9" s="91"/>
      <c r="Y9" s="91"/>
    </row>
    <row r="10">
      <c r="A10" s="24"/>
      <c r="B10" s="24"/>
      <c r="C10" s="24"/>
      <c r="D10" s="24"/>
      <c r="E10" s="24"/>
      <c r="F10" s="24"/>
      <c r="G10" s="24"/>
      <c r="H10" s="24"/>
      <c r="I10" s="92" t="s">
        <v>145</v>
      </c>
      <c r="J10" s="24"/>
      <c r="K10" s="24"/>
      <c r="L10" s="87">
        <v>46113.0</v>
      </c>
      <c r="M10" s="87">
        <v>46203.0</v>
      </c>
      <c r="N10" s="88">
        <f t="shared" si="1"/>
        <v>13</v>
      </c>
      <c r="O10" s="98" t="s">
        <v>146</v>
      </c>
      <c r="P10" s="99" t="s">
        <v>147</v>
      </c>
      <c r="Q10" s="24"/>
      <c r="R10" s="90"/>
      <c r="S10" s="90"/>
      <c r="T10" s="91"/>
      <c r="U10" s="91"/>
      <c r="V10" s="91"/>
      <c r="W10" s="91"/>
      <c r="X10" s="91"/>
      <c r="Y10" s="91"/>
    </row>
    <row r="11">
      <c r="A11" s="24"/>
      <c r="B11" s="24"/>
      <c r="C11" s="24"/>
      <c r="D11" s="24"/>
      <c r="E11" s="24"/>
      <c r="F11" s="24"/>
      <c r="G11" s="24"/>
      <c r="H11" s="24"/>
      <c r="I11" s="100" t="s">
        <v>148</v>
      </c>
      <c r="J11" s="24"/>
      <c r="K11" s="24"/>
      <c r="L11" s="87">
        <v>46204.0</v>
      </c>
      <c r="M11" s="87">
        <v>46295.0</v>
      </c>
      <c r="N11" s="88">
        <f t="shared" si="1"/>
        <v>13</v>
      </c>
      <c r="O11" s="97"/>
      <c r="P11" s="90"/>
      <c r="Q11" s="24"/>
      <c r="R11" s="90"/>
      <c r="S11" s="90"/>
      <c r="T11" s="91"/>
      <c r="U11" s="91"/>
      <c r="V11" s="91"/>
      <c r="W11" s="91"/>
      <c r="X11" s="91"/>
      <c r="Y11" s="91"/>
    </row>
    <row r="12">
      <c r="A12" s="26"/>
      <c r="B12" s="26"/>
      <c r="C12" s="26"/>
      <c r="D12" s="26"/>
      <c r="E12" s="26"/>
      <c r="F12" s="26"/>
      <c r="G12" s="26"/>
      <c r="H12" s="26"/>
      <c r="I12" s="92" t="s">
        <v>149</v>
      </c>
      <c r="J12" s="26"/>
      <c r="K12" s="26"/>
      <c r="L12" s="87">
        <v>46296.0</v>
      </c>
      <c r="M12" s="87">
        <v>46387.0</v>
      </c>
      <c r="N12" s="88">
        <f t="shared" si="1"/>
        <v>13</v>
      </c>
      <c r="O12" s="97"/>
      <c r="P12" s="90"/>
      <c r="Q12" s="26"/>
      <c r="R12" s="90"/>
      <c r="S12" s="90"/>
      <c r="T12" s="91"/>
      <c r="U12" s="91"/>
      <c r="V12" s="91"/>
      <c r="W12" s="91"/>
      <c r="X12" s="91"/>
      <c r="Y12" s="91"/>
    </row>
    <row r="13">
      <c r="A13" s="78">
        <v>3.0</v>
      </c>
      <c r="B13" s="84" t="s">
        <v>150</v>
      </c>
      <c r="C13" s="80" t="s">
        <v>151</v>
      </c>
      <c r="D13" s="80" t="s">
        <v>152</v>
      </c>
      <c r="E13" s="80" t="s">
        <v>151</v>
      </c>
      <c r="F13" s="82" t="s">
        <v>153</v>
      </c>
      <c r="G13" s="82" t="s">
        <v>154</v>
      </c>
      <c r="H13" s="80" t="s">
        <v>155</v>
      </c>
      <c r="I13" s="92" t="s">
        <v>156</v>
      </c>
      <c r="J13" s="84" t="s">
        <v>55</v>
      </c>
      <c r="K13" s="93" t="s">
        <v>157</v>
      </c>
      <c r="L13" s="87">
        <v>46027.0</v>
      </c>
      <c r="M13" s="87">
        <v>46033.0</v>
      </c>
      <c r="N13" s="88">
        <f t="shared" si="1"/>
        <v>1</v>
      </c>
      <c r="O13" s="89" t="s">
        <v>30</v>
      </c>
      <c r="P13" s="92" t="s">
        <v>158</v>
      </c>
      <c r="Q13" s="90"/>
      <c r="R13" s="90"/>
      <c r="S13" s="101" t="s">
        <v>159</v>
      </c>
      <c r="T13" s="91"/>
      <c r="U13" s="91"/>
      <c r="V13" s="91"/>
      <c r="W13" s="91"/>
      <c r="X13" s="91"/>
      <c r="Y13" s="91"/>
    </row>
    <row r="14">
      <c r="A14" s="24"/>
      <c r="B14" s="24"/>
      <c r="C14" s="24"/>
      <c r="D14" s="24"/>
      <c r="E14" s="24"/>
      <c r="F14" s="24"/>
      <c r="G14" s="24"/>
      <c r="H14" s="24"/>
      <c r="I14" s="92" t="s">
        <v>160</v>
      </c>
      <c r="J14" s="24"/>
      <c r="K14" s="93" t="s">
        <v>161</v>
      </c>
      <c r="L14" s="87">
        <v>46034.0</v>
      </c>
      <c r="M14" s="87">
        <v>46041.0</v>
      </c>
      <c r="N14" s="88">
        <f t="shared" si="1"/>
        <v>1</v>
      </c>
      <c r="O14" s="89" t="s">
        <v>162</v>
      </c>
      <c r="P14" s="92" t="s">
        <v>163</v>
      </c>
      <c r="Q14" s="90"/>
      <c r="R14" s="90"/>
      <c r="S14" s="90"/>
      <c r="T14" s="91"/>
      <c r="U14" s="91"/>
      <c r="V14" s="91"/>
      <c r="W14" s="91"/>
      <c r="X14" s="91"/>
      <c r="Y14" s="91"/>
    </row>
    <row r="15">
      <c r="A15" s="24"/>
      <c r="B15" s="24"/>
      <c r="C15" s="24"/>
      <c r="D15" s="24"/>
      <c r="E15" s="24"/>
      <c r="F15" s="24"/>
      <c r="G15" s="24"/>
      <c r="H15" s="24"/>
      <c r="I15" s="92" t="s">
        <v>164</v>
      </c>
      <c r="J15" s="24"/>
      <c r="K15" s="93" t="s">
        <v>165</v>
      </c>
      <c r="L15" s="87">
        <v>46132.0</v>
      </c>
      <c r="M15" s="87">
        <v>46138.0</v>
      </c>
      <c r="N15" s="88">
        <f t="shared" si="1"/>
        <v>1</v>
      </c>
      <c r="O15" s="89" t="s">
        <v>30</v>
      </c>
      <c r="P15" s="92" t="s">
        <v>166</v>
      </c>
      <c r="Q15" s="90"/>
      <c r="R15" s="90"/>
      <c r="S15" s="90"/>
      <c r="T15" s="91"/>
      <c r="U15" s="91"/>
      <c r="V15" s="91"/>
      <c r="W15" s="91"/>
      <c r="X15" s="91"/>
      <c r="Y15" s="91"/>
    </row>
    <row r="16">
      <c r="A16" s="24"/>
      <c r="B16" s="24"/>
      <c r="C16" s="24"/>
      <c r="D16" s="24"/>
      <c r="E16" s="24"/>
      <c r="F16" s="24"/>
      <c r="G16" s="24"/>
      <c r="H16" s="24"/>
      <c r="I16" s="92" t="s">
        <v>167</v>
      </c>
      <c r="J16" s="24"/>
      <c r="K16" s="93" t="s">
        <v>161</v>
      </c>
      <c r="L16" s="87">
        <v>46143.0</v>
      </c>
      <c r="M16" s="87">
        <v>46172.0</v>
      </c>
      <c r="N16" s="88">
        <f t="shared" si="1"/>
        <v>4</v>
      </c>
      <c r="O16" s="89" t="s">
        <v>168</v>
      </c>
      <c r="P16" s="92" t="s">
        <v>169</v>
      </c>
      <c r="Q16" s="90"/>
      <c r="R16" s="90"/>
      <c r="S16" s="90"/>
      <c r="T16" s="91"/>
      <c r="U16" s="91"/>
      <c r="V16" s="91"/>
      <c r="W16" s="91"/>
      <c r="X16" s="91"/>
      <c r="Y16" s="91"/>
    </row>
    <row r="17">
      <c r="A17" s="26"/>
      <c r="B17" s="26"/>
      <c r="C17" s="26"/>
      <c r="D17" s="26"/>
      <c r="E17" s="26"/>
      <c r="F17" s="26"/>
      <c r="G17" s="26"/>
      <c r="H17" s="26"/>
      <c r="I17" s="92" t="s">
        <v>170</v>
      </c>
      <c r="J17" s="26"/>
      <c r="K17" s="93" t="s">
        <v>161</v>
      </c>
      <c r="L17" s="87">
        <v>46266.0</v>
      </c>
      <c r="M17" s="87">
        <v>46295.0</v>
      </c>
      <c r="N17" s="88">
        <f t="shared" si="1"/>
        <v>4</v>
      </c>
      <c r="O17" s="89" t="s">
        <v>168</v>
      </c>
      <c r="P17" s="92" t="s">
        <v>171</v>
      </c>
      <c r="Q17" s="90"/>
      <c r="R17" s="90"/>
      <c r="S17" s="90"/>
      <c r="T17" s="91"/>
      <c r="U17" s="91"/>
      <c r="V17" s="91"/>
      <c r="W17" s="91"/>
      <c r="X17" s="91"/>
      <c r="Y17" s="91"/>
    </row>
    <row r="18" ht="127.5" customHeight="1">
      <c r="A18" s="102">
        <v>4.0</v>
      </c>
      <c r="B18" s="102" t="s">
        <v>172</v>
      </c>
      <c r="C18" s="103" t="s">
        <v>173</v>
      </c>
      <c r="D18" s="103" t="s">
        <v>173</v>
      </c>
      <c r="E18" s="104" t="s">
        <v>174</v>
      </c>
      <c r="F18" s="105">
        <v>0.945</v>
      </c>
      <c r="G18" s="105">
        <v>0.98</v>
      </c>
      <c r="H18" s="106" t="s">
        <v>175</v>
      </c>
      <c r="I18" s="104" t="s">
        <v>176</v>
      </c>
      <c r="J18" s="102" t="s">
        <v>55</v>
      </c>
      <c r="K18" s="102" t="s">
        <v>177</v>
      </c>
      <c r="L18" s="107" t="s">
        <v>178</v>
      </c>
      <c r="M18" s="107" t="s">
        <v>179</v>
      </c>
      <c r="N18" s="108">
        <v>1.0</v>
      </c>
      <c r="O18" s="109"/>
      <c r="P18" s="42" t="s">
        <v>180</v>
      </c>
      <c r="Q18" s="110" t="s">
        <v>144</v>
      </c>
      <c r="R18" s="111"/>
      <c r="S18" s="111"/>
      <c r="T18" s="112"/>
      <c r="U18" s="112"/>
      <c r="V18" s="112"/>
      <c r="W18" s="112"/>
      <c r="X18" s="112"/>
      <c r="Y18" s="112"/>
    </row>
    <row r="19">
      <c r="A19" s="113">
        <v>5.0</v>
      </c>
      <c r="B19" s="113" t="s">
        <v>181</v>
      </c>
      <c r="C19" s="114" t="s">
        <v>182</v>
      </c>
      <c r="D19" s="115" t="s">
        <v>183</v>
      </c>
      <c r="E19" s="115" t="s">
        <v>183</v>
      </c>
      <c r="F19" s="116">
        <v>0.4583</v>
      </c>
      <c r="G19" s="116">
        <v>0.6</v>
      </c>
      <c r="H19" s="117" t="s">
        <v>184</v>
      </c>
      <c r="I19" s="118" t="s">
        <v>185</v>
      </c>
      <c r="J19" s="113" t="s">
        <v>55</v>
      </c>
      <c r="K19" s="113" t="s">
        <v>99</v>
      </c>
      <c r="L19" s="119">
        <v>46174.0</v>
      </c>
      <c r="M19" s="119">
        <v>46174.0</v>
      </c>
      <c r="N19" s="120" t="s">
        <v>186</v>
      </c>
      <c r="O19" s="121"/>
      <c r="P19" s="118" t="s">
        <v>187</v>
      </c>
      <c r="Q19" s="111"/>
      <c r="R19" s="111"/>
      <c r="S19" s="111"/>
      <c r="T19" s="112"/>
      <c r="U19" s="112"/>
      <c r="V19" s="112"/>
      <c r="W19" s="112"/>
      <c r="X19" s="112"/>
      <c r="Y19" s="112"/>
    </row>
    <row r="20">
      <c r="A20" s="24"/>
      <c r="B20" s="24"/>
      <c r="C20" s="24"/>
      <c r="D20" s="24"/>
      <c r="E20" s="24"/>
      <c r="F20" s="24"/>
      <c r="G20" s="24"/>
      <c r="H20" s="24"/>
      <c r="I20" s="118" t="s">
        <v>188</v>
      </c>
      <c r="J20" s="26"/>
      <c r="K20" s="26"/>
      <c r="L20" s="122" t="s">
        <v>189</v>
      </c>
      <c r="M20" s="122" t="s">
        <v>190</v>
      </c>
      <c r="N20" s="120" t="s">
        <v>186</v>
      </c>
      <c r="O20" s="123"/>
      <c r="P20" s="124" t="s">
        <v>191</v>
      </c>
      <c r="Q20" s="110" t="s">
        <v>89</v>
      </c>
      <c r="R20" s="111"/>
      <c r="S20" s="111"/>
      <c r="T20" s="112"/>
      <c r="U20" s="112"/>
      <c r="V20" s="112"/>
      <c r="W20" s="112"/>
      <c r="X20" s="112"/>
      <c r="Y20" s="112"/>
    </row>
    <row r="21">
      <c r="A21" s="24"/>
      <c r="B21" s="24"/>
      <c r="C21" s="24"/>
      <c r="D21" s="24"/>
      <c r="E21" s="24"/>
      <c r="F21" s="24"/>
      <c r="G21" s="24"/>
      <c r="H21" s="26"/>
      <c r="I21" s="118" t="s">
        <v>192</v>
      </c>
      <c r="J21" s="102"/>
      <c r="K21" s="102"/>
      <c r="L21" s="119">
        <v>46174.0</v>
      </c>
      <c r="M21" s="125">
        <v>46266.0</v>
      </c>
      <c r="N21" s="120" t="s">
        <v>193</v>
      </c>
      <c r="O21" s="123"/>
      <c r="P21" s="124" t="s">
        <v>194</v>
      </c>
      <c r="Q21" s="110"/>
      <c r="R21" s="111"/>
      <c r="S21" s="111"/>
      <c r="T21" s="112"/>
      <c r="U21" s="112"/>
      <c r="V21" s="112"/>
      <c r="W21" s="112"/>
      <c r="X21" s="112"/>
      <c r="Y21" s="112"/>
    </row>
    <row r="22">
      <c r="A22" s="24"/>
      <c r="B22" s="24"/>
      <c r="C22" s="24"/>
      <c r="D22" s="24"/>
      <c r="E22" s="24"/>
      <c r="F22" s="24"/>
      <c r="G22" s="24"/>
      <c r="H22" s="117" t="s">
        <v>195</v>
      </c>
      <c r="I22" s="118" t="s">
        <v>196</v>
      </c>
      <c r="J22" s="102" t="s">
        <v>197</v>
      </c>
      <c r="K22" s="102" t="s">
        <v>55</v>
      </c>
      <c r="L22" s="122" t="s">
        <v>189</v>
      </c>
      <c r="M22" s="122" t="s">
        <v>198</v>
      </c>
      <c r="N22" s="120" t="s">
        <v>57</v>
      </c>
      <c r="O22" s="126"/>
      <c r="P22" s="118" t="s">
        <v>199</v>
      </c>
      <c r="Q22" s="103" t="s">
        <v>89</v>
      </c>
      <c r="R22" s="111"/>
      <c r="S22" s="111"/>
      <c r="T22" s="112"/>
      <c r="U22" s="112"/>
      <c r="V22" s="112"/>
      <c r="W22" s="112"/>
      <c r="X22" s="112"/>
      <c r="Y22" s="112"/>
    </row>
    <row r="23">
      <c r="A23" s="24"/>
      <c r="B23" s="24"/>
      <c r="C23" s="24"/>
      <c r="D23" s="24"/>
      <c r="E23" s="24"/>
      <c r="F23" s="24"/>
      <c r="G23" s="24"/>
      <c r="H23" s="24"/>
      <c r="I23" s="118" t="s">
        <v>200</v>
      </c>
      <c r="J23" s="102" t="s">
        <v>197</v>
      </c>
      <c r="K23" s="102" t="s">
        <v>55</v>
      </c>
      <c r="L23" s="119">
        <v>46023.0</v>
      </c>
      <c r="M23" s="119">
        <v>46023.0</v>
      </c>
      <c r="N23" s="120" t="s">
        <v>201</v>
      </c>
      <c r="O23" s="109"/>
      <c r="P23" s="118" t="s">
        <v>202</v>
      </c>
      <c r="Q23" s="103" t="s">
        <v>89</v>
      </c>
      <c r="R23" s="111"/>
      <c r="S23" s="111"/>
      <c r="T23" s="112"/>
      <c r="U23" s="112"/>
      <c r="V23" s="112"/>
      <c r="W23" s="112"/>
      <c r="X23" s="112"/>
      <c r="Y23" s="112"/>
    </row>
    <row r="24">
      <c r="A24" s="24"/>
      <c r="B24" s="24"/>
      <c r="C24" s="24"/>
      <c r="D24" s="24"/>
      <c r="E24" s="24"/>
      <c r="F24" s="24"/>
      <c r="G24" s="24"/>
      <c r="H24" s="24"/>
      <c r="I24" s="118" t="s">
        <v>203</v>
      </c>
      <c r="J24" s="102" t="s">
        <v>197</v>
      </c>
      <c r="K24" s="102" t="s">
        <v>55</v>
      </c>
      <c r="L24" s="122" t="s">
        <v>198</v>
      </c>
      <c r="M24" s="122" t="s">
        <v>204</v>
      </c>
      <c r="N24" s="120" t="s">
        <v>186</v>
      </c>
      <c r="O24" s="109"/>
      <c r="P24" s="118" t="s">
        <v>205</v>
      </c>
      <c r="Q24" s="103" t="s">
        <v>89</v>
      </c>
      <c r="R24" s="111"/>
      <c r="S24" s="111"/>
      <c r="T24" s="112"/>
      <c r="U24" s="112"/>
      <c r="V24" s="112"/>
      <c r="W24" s="112"/>
      <c r="X24" s="112"/>
      <c r="Y24" s="112"/>
    </row>
    <row r="25">
      <c r="A25" s="26"/>
      <c r="B25" s="26"/>
      <c r="C25" s="26"/>
      <c r="D25" s="26"/>
      <c r="E25" s="26"/>
      <c r="F25" s="26"/>
      <c r="G25" s="26"/>
      <c r="H25" s="26"/>
      <c r="I25" s="118" t="s">
        <v>206</v>
      </c>
      <c r="J25" s="102" t="s">
        <v>197</v>
      </c>
      <c r="K25" s="102" t="s">
        <v>55</v>
      </c>
      <c r="L25" s="125">
        <v>46113.0</v>
      </c>
      <c r="M25" s="122" t="s">
        <v>207</v>
      </c>
      <c r="N25" s="120" t="s">
        <v>208</v>
      </c>
      <c r="O25" s="126"/>
      <c r="P25" s="118" t="s">
        <v>209</v>
      </c>
      <c r="Q25" s="103" t="s">
        <v>89</v>
      </c>
      <c r="R25" s="111"/>
      <c r="S25" s="111"/>
      <c r="T25" s="112"/>
      <c r="U25" s="112"/>
      <c r="V25" s="112"/>
      <c r="W25" s="112"/>
      <c r="X25" s="112"/>
      <c r="Y25" s="112"/>
    </row>
    <row r="26">
      <c r="A26" s="113">
        <v>6.0</v>
      </c>
      <c r="B26" s="113" t="s">
        <v>181</v>
      </c>
      <c r="C26" s="114" t="s">
        <v>210</v>
      </c>
      <c r="D26" s="114" t="s">
        <v>211</v>
      </c>
      <c r="E26" s="115" t="s">
        <v>211</v>
      </c>
      <c r="F26" s="127">
        <v>100.0</v>
      </c>
      <c r="G26" s="127">
        <v>100.0</v>
      </c>
      <c r="H26" s="114" t="s">
        <v>212</v>
      </c>
      <c r="I26" s="128" t="s">
        <v>213</v>
      </c>
      <c r="J26" s="102" t="s">
        <v>197</v>
      </c>
      <c r="K26" s="102" t="s">
        <v>214</v>
      </c>
      <c r="L26" s="129" t="s">
        <v>215</v>
      </c>
      <c r="M26" s="129" t="s">
        <v>216</v>
      </c>
      <c r="N26" s="120" t="s">
        <v>217</v>
      </c>
      <c r="O26" s="126"/>
      <c r="P26" s="103" t="s">
        <v>218</v>
      </c>
      <c r="Q26" s="103" t="s">
        <v>219</v>
      </c>
      <c r="R26" s="111"/>
      <c r="S26" s="111"/>
      <c r="T26" s="112"/>
      <c r="U26" s="112"/>
      <c r="V26" s="112"/>
      <c r="W26" s="112"/>
      <c r="X26" s="112"/>
      <c r="Y26" s="112"/>
    </row>
    <row r="27">
      <c r="A27" s="24"/>
      <c r="B27" s="24"/>
      <c r="C27" s="24"/>
      <c r="D27" s="24"/>
      <c r="E27" s="24"/>
      <c r="F27" s="24"/>
      <c r="G27" s="24"/>
      <c r="H27" s="24"/>
      <c r="I27" s="128" t="s">
        <v>213</v>
      </c>
      <c r="J27" s="102" t="s">
        <v>197</v>
      </c>
      <c r="K27" s="102" t="s">
        <v>214</v>
      </c>
      <c r="L27" s="129" t="s">
        <v>215</v>
      </c>
      <c r="M27" s="129" t="s">
        <v>216</v>
      </c>
      <c r="N27" s="120" t="s">
        <v>57</v>
      </c>
      <c r="O27" s="126"/>
      <c r="P27" s="103" t="s">
        <v>220</v>
      </c>
      <c r="Q27" s="103" t="s">
        <v>219</v>
      </c>
      <c r="R27" s="111"/>
      <c r="S27" s="111"/>
      <c r="T27" s="112"/>
      <c r="U27" s="112"/>
      <c r="V27" s="112"/>
      <c r="W27" s="112"/>
      <c r="X27" s="112"/>
      <c r="Y27" s="112"/>
    </row>
    <row r="28">
      <c r="A28" s="24"/>
      <c r="B28" s="24"/>
      <c r="C28" s="24"/>
      <c r="D28" s="24"/>
      <c r="E28" s="24"/>
      <c r="F28" s="24"/>
      <c r="G28" s="24"/>
      <c r="H28" s="24"/>
      <c r="I28" s="118" t="s">
        <v>213</v>
      </c>
      <c r="J28" s="102" t="s">
        <v>197</v>
      </c>
      <c r="K28" s="102" t="s">
        <v>214</v>
      </c>
      <c r="L28" s="129" t="s">
        <v>221</v>
      </c>
      <c r="M28" s="129" t="s">
        <v>222</v>
      </c>
      <c r="N28" s="130" t="s">
        <v>223</v>
      </c>
      <c r="O28" s="126"/>
      <c r="P28" s="103" t="s">
        <v>224</v>
      </c>
      <c r="Q28" s="103" t="s">
        <v>219</v>
      </c>
      <c r="R28" s="111"/>
      <c r="S28" s="111"/>
      <c r="T28" s="112"/>
      <c r="U28" s="112"/>
      <c r="V28" s="112"/>
      <c r="W28" s="112"/>
      <c r="X28" s="112"/>
      <c r="Y28" s="112"/>
    </row>
    <row r="29">
      <c r="A29" s="24"/>
      <c r="B29" s="24"/>
      <c r="C29" s="24"/>
      <c r="D29" s="24"/>
      <c r="E29" s="24"/>
      <c r="F29" s="24"/>
      <c r="G29" s="24"/>
      <c r="H29" s="24"/>
      <c r="I29" s="118" t="s">
        <v>213</v>
      </c>
      <c r="J29" s="102" t="s">
        <v>197</v>
      </c>
      <c r="K29" s="102" t="s">
        <v>225</v>
      </c>
      <c r="L29" s="129" t="s">
        <v>221</v>
      </c>
      <c r="M29" s="129" t="s">
        <v>222</v>
      </c>
      <c r="N29" s="130" t="s">
        <v>223</v>
      </c>
      <c r="O29" s="126"/>
      <c r="P29" s="103" t="s">
        <v>226</v>
      </c>
      <c r="Q29" s="103" t="s">
        <v>89</v>
      </c>
      <c r="R29" s="111"/>
      <c r="S29" s="111"/>
      <c r="T29" s="112"/>
      <c r="U29" s="112"/>
      <c r="V29" s="112"/>
      <c r="W29" s="112"/>
      <c r="X29" s="112"/>
      <c r="Y29" s="112"/>
    </row>
    <row r="30">
      <c r="A30" s="26"/>
      <c r="B30" s="26"/>
      <c r="C30" s="26"/>
      <c r="D30" s="26"/>
      <c r="E30" s="26"/>
      <c r="F30" s="26"/>
      <c r="G30" s="26"/>
      <c r="H30" s="26"/>
      <c r="I30" s="118" t="s">
        <v>227</v>
      </c>
      <c r="J30" s="102" t="s">
        <v>197</v>
      </c>
      <c r="K30" s="102" t="s">
        <v>225</v>
      </c>
      <c r="L30" s="122" t="s">
        <v>228</v>
      </c>
      <c r="M30" s="122" t="s">
        <v>229</v>
      </c>
      <c r="N30" s="120" t="s">
        <v>217</v>
      </c>
      <c r="O30" s="109"/>
      <c r="P30" s="103" t="s">
        <v>230</v>
      </c>
      <c r="Q30" s="103" t="s">
        <v>89</v>
      </c>
      <c r="R30" s="111"/>
      <c r="S30" s="111"/>
      <c r="T30" s="112"/>
      <c r="U30" s="112"/>
      <c r="V30" s="112"/>
      <c r="W30" s="112"/>
      <c r="X30" s="112"/>
      <c r="Y30" s="112"/>
    </row>
    <row r="31">
      <c r="A31" s="93"/>
      <c r="B31" s="93"/>
      <c r="C31" s="92"/>
      <c r="D31" s="92"/>
      <c r="E31" s="92"/>
      <c r="F31" s="85"/>
      <c r="G31" s="85"/>
      <c r="H31" s="131"/>
      <c r="I31" s="83" t="s">
        <v>231</v>
      </c>
      <c r="J31" s="93" t="s">
        <v>232</v>
      </c>
      <c r="K31" s="93" t="s">
        <v>161</v>
      </c>
      <c r="L31" s="86">
        <v>46026.0</v>
      </c>
      <c r="M31" s="86">
        <v>46360.0</v>
      </c>
      <c r="N31" s="132">
        <v>37.0</v>
      </c>
      <c r="O31" s="133" t="s">
        <v>233</v>
      </c>
      <c r="P31" s="134" t="s">
        <v>234</v>
      </c>
      <c r="Q31" s="92" t="s">
        <v>89</v>
      </c>
      <c r="R31" s="90"/>
      <c r="S31" s="90"/>
      <c r="T31" s="135"/>
      <c r="U31" s="135"/>
      <c r="V31" s="135"/>
      <c r="W31" s="135"/>
      <c r="X31" s="135"/>
      <c r="Y31" s="135"/>
    </row>
    <row r="32">
      <c r="A32" s="84">
        <v>9.0</v>
      </c>
      <c r="B32" s="84" t="s">
        <v>235</v>
      </c>
      <c r="C32" s="80" t="s">
        <v>236</v>
      </c>
      <c r="D32" s="80" t="s">
        <v>237</v>
      </c>
      <c r="E32" s="80" t="s">
        <v>237</v>
      </c>
      <c r="F32" s="82" t="s">
        <v>238</v>
      </c>
      <c r="G32" s="82" t="s">
        <v>239</v>
      </c>
      <c r="H32" s="80" t="s">
        <v>240</v>
      </c>
      <c r="I32" s="83" t="s">
        <v>241</v>
      </c>
      <c r="J32" s="93" t="s">
        <v>232</v>
      </c>
      <c r="K32" s="93" t="s">
        <v>161</v>
      </c>
      <c r="L32" s="86">
        <v>46034.0</v>
      </c>
      <c r="M32" s="86">
        <v>46360.0</v>
      </c>
      <c r="N32" s="136">
        <v>37.0</v>
      </c>
      <c r="O32" s="89" t="s">
        <v>242</v>
      </c>
      <c r="P32" s="137" t="s">
        <v>243</v>
      </c>
      <c r="Q32" s="92" t="s">
        <v>89</v>
      </c>
      <c r="R32" s="90"/>
      <c r="S32" s="90"/>
      <c r="T32" s="135"/>
      <c r="U32" s="135"/>
      <c r="V32" s="135"/>
      <c r="W32" s="135"/>
      <c r="X32" s="135"/>
      <c r="Y32" s="135"/>
    </row>
    <row r="33">
      <c r="A33" s="24"/>
      <c r="B33" s="24"/>
      <c r="C33" s="24"/>
      <c r="D33" s="24"/>
      <c r="E33" s="24"/>
      <c r="F33" s="24"/>
      <c r="G33" s="24"/>
      <c r="H33" s="24"/>
      <c r="I33" s="83" t="s">
        <v>244</v>
      </c>
      <c r="J33" s="93" t="s">
        <v>232</v>
      </c>
      <c r="K33" s="93" t="s">
        <v>161</v>
      </c>
      <c r="L33" s="86">
        <v>46034.0</v>
      </c>
      <c r="M33" s="86">
        <v>46360.0</v>
      </c>
      <c r="N33" s="136">
        <v>37.0</v>
      </c>
      <c r="O33" s="89" t="s">
        <v>245</v>
      </c>
      <c r="P33" s="92" t="s">
        <v>246</v>
      </c>
      <c r="Q33" s="93" t="s">
        <v>89</v>
      </c>
      <c r="R33" s="90"/>
      <c r="S33" s="90"/>
      <c r="T33" s="135"/>
      <c r="U33" s="135"/>
      <c r="V33" s="135"/>
      <c r="W33" s="135"/>
      <c r="X33" s="135"/>
      <c r="Y33" s="135"/>
    </row>
    <row r="34">
      <c r="A34" s="26"/>
      <c r="B34" s="26"/>
      <c r="C34" s="26"/>
      <c r="D34" s="26"/>
      <c r="E34" s="26"/>
      <c r="F34" s="26"/>
      <c r="G34" s="26"/>
      <c r="H34" s="26"/>
      <c r="I34" s="83" t="s">
        <v>247</v>
      </c>
      <c r="J34" s="93" t="s">
        <v>232</v>
      </c>
      <c r="K34" s="93" t="s">
        <v>161</v>
      </c>
      <c r="L34" s="86">
        <v>46034.0</v>
      </c>
      <c r="M34" s="86">
        <v>46360.0</v>
      </c>
      <c r="N34" s="136">
        <v>37.0</v>
      </c>
      <c r="O34" s="89" t="s">
        <v>248</v>
      </c>
      <c r="P34" s="137" t="s">
        <v>249</v>
      </c>
      <c r="Q34" s="93" t="s">
        <v>89</v>
      </c>
      <c r="R34" s="90"/>
      <c r="S34" s="90"/>
      <c r="T34" s="135"/>
      <c r="U34" s="135"/>
      <c r="V34" s="135"/>
      <c r="W34" s="135"/>
      <c r="X34" s="135"/>
      <c r="Y34" s="135"/>
    </row>
    <row r="35">
      <c r="A35" s="138">
        <v>10.0</v>
      </c>
      <c r="B35" s="113" t="s">
        <v>250</v>
      </c>
      <c r="C35" s="114" t="s">
        <v>251</v>
      </c>
      <c r="D35" s="114" t="s">
        <v>252</v>
      </c>
      <c r="E35" s="114" t="s">
        <v>253</v>
      </c>
      <c r="F35" s="139" t="s">
        <v>254</v>
      </c>
      <c r="G35" s="139" t="s">
        <v>255</v>
      </c>
      <c r="H35" s="114" t="s">
        <v>256</v>
      </c>
      <c r="I35" s="103" t="s">
        <v>257</v>
      </c>
      <c r="J35" s="113" t="s">
        <v>258</v>
      </c>
      <c r="K35" s="111"/>
      <c r="L35" s="140">
        <v>46023.0</v>
      </c>
      <c r="M35" s="140">
        <v>46387.0</v>
      </c>
      <c r="N35" s="141">
        <f t="shared" ref="N35:N38" si="2">INT(NETWORKDAYS(L35,M35)/5)</f>
        <v>52</v>
      </c>
      <c r="O35" s="109" t="s">
        <v>259</v>
      </c>
      <c r="P35" s="121" t="s">
        <v>260</v>
      </c>
      <c r="Q35" s="102" t="s">
        <v>261</v>
      </c>
      <c r="R35" s="111"/>
      <c r="S35" s="111"/>
      <c r="T35" s="112"/>
      <c r="U35" s="112"/>
      <c r="V35" s="112"/>
      <c r="W35" s="112"/>
      <c r="X35" s="112"/>
      <c r="Y35" s="112"/>
    </row>
    <row r="36">
      <c r="A36" s="24"/>
      <c r="B36" s="24"/>
      <c r="C36" s="24"/>
      <c r="D36" s="24"/>
      <c r="E36" s="24"/>
      <c r="F36" s="24"/>
      <c r="G36" s="24"/>
      <c r="H36" s="24"/>
      <c r="I36" s="103" t="s">
        <v>262</v>
      </c>
      <c r="J36" s="24"/>
      <c r="K36" s="103" t="s">
        <v>263</v>
      </c>
      <c r="L36" s="140">
        <v>46023.0</v>
      </c>
      <c r="M36" s="140">
        <v>46387.0</v>
      </c>
      <c r="N36" s="141">
        <f t="shared" si="2"/>
        <v>52</v>
      </c>
      <c r="O36" s="109" t="s">
        <v>264</v>
      </c>
      <c r="P36" s="121" t="s">
        <v>265</v>
      </c>
      <c r="Q36" s="102" t="s">
        <v>261</v>
      </c>
      <c r="R36" s="111"/>
      <c r="S36" s="111"/>
      <c r="T36" s="112"/>
      <c r="U36" s="112"/>
      <c r="V36" s="112"/>
      <c r="W36" s="112"/>
      <c r="X36" s="112"/>
      <c r="Y36" s="112"/>
    </row>
    <row r="37">
      <c r="A37" s="26"/>
      <c r="B37" s="26"/>
      <c r="C37" s="26"/>
      <c r="D37" s="26"/>
      <c r="E37" s="26"/>
      <c r="F37" s="26"/>
      <c r="G37" s="26"/>
      <c r="H37" s="26"/>
      <c r="I37" s="103" t="s">
        <v>266</v>
      </c>
      <c r="J37" s="26"/>
      <c r="K37" s="103" t="s">
        <v>267</v>
      </c>
      <c r="L37" s="140">
        <v>46256.0</v>
      </c>
      <c r="M37" s="140">
        <v>46257.0</v>
      </c>
      <c r="N37" s="141">
        <f t="shared" si="2"/>
        <v>0</v>
      </c>
      <c r="O37" s="109" t="s">
        <v>268</v>
      </c>
      <c r="P37" s="121" t="s">
        <v>269</v>
      </c>
      <c r="Q37" s="102" t="s">
        <v>261</v>
      </c>
      <c r="R37" s="111"/>
      <c r="S37" s="111"/>
      <c r="T37" s="112"/>
      <c r="U37" s="112"/>
      <c r="V37" s="112"/>
      <c r="W37" s="112"/>
      <c r="X37" s="112"/>
      <c r="Y37" s="112"/>
    </row>
    <row r="38">
      <c r="A38" s="84">
        <v>11.0</v>
      </c>
      <c r="B38" s="84" t="s">
        <v>270</v>
      </c>
      <c r="C38" s="80" t="s">
        <v>271</v>
      </c>
      <c r="D38" s="80" t="s">
        <v>272</v>
      </c>
      <c r="E38" s="95"/>
      <c r="F38" s="80" t="s">
        <v>273</v>
      </c>
      <c r="G38" s="84" t="s">
        <v>274</v>
      </c>
      <c r="H38" s="80" t="s">
        <v>275</v>
      </c>
      <c r="I38" s="92" t="s">
        <v>276</v>
      </c>
      <c r="J38" s="84" t="s">
        <v>142</v>
      </c>
      <c r="K38" s="84" t="s">
        <v>277</v>
      </c>
      <c r="L38" s="142">
        <v>46023.0</v>
      </c>
      <c r="M38" s="142">
        <v>46387.0</v>
      </c>
      <c r="N38" s="143">
        <f t="shared" si="2"/>
        <v>52</v>
      </c>
      <c r="O38" s="89" t="s">
        <v>278</v>
      </c>
      <c r="P38" s="99" t="s">
        <v>279</v>
      </c>
      <c r="Q38" s="84" t="s">
        <v>219</v>
      </c>
      <c r="R38" s="95"/>
      <c r="S38" s="95"/>
      <c r="T38" s="135"/>
      <c r="U38" s="135"/>
      <c r="V38" s="135"/>
      <c r="W38" s="135"/>
      <c r="X38" s="135"/>
      <c r="Y38" s="135"/>
    </row>
    <row r="39">
      <c r="A39" s="24"/>
      <c r="B39" s="24"/>
      <c r="C39" s="24"/>
      <c r="D39" s="24"/>
      <c r="E39" s="24"/>
      <c r="F39" s="24"/>
      <c r="G39" s="24"/>
      <c r="H39" s="26"/>
      <c r="I39" s="92" t="s">
        <v>280</v>
      </c>
      <c r="J39" s="26"/>
      <c r="K39" s="26"/>
      <c r="L39" s="26"/>
      <c r="M39" s="26"/>
      <c r="N39" s="26"/>
      <c r="O39" s="89" t="s">
        <v>281</v>
      </c>
      <c r="P39" s="99" t="s">
        <v>282</v>
      </c>
      <c r="Q39" s="26"/>
      <c r="R39" s="26"/>
      <c r="S39" s="26"/>
      <c r="U39" s="135"/>
      <c r="V39" s="135"/>
      <c r="W39" s="135"/>
      <c r="X39" s="135"/>
      <c r="Y39" s="135"/>
    </row>
    <row r="40">
      <c r="A40" s="24"/>
      <c r="B40" s="24"/>
      <c r="C40" s="24"/>
      <c r="D40" s="24"/>
      <c r="E40" s="24"/>
      <c r="F40" s="24"/>
      <c r="G40" s="24"/>
      <c r="H40" s="80" t="s">
        <v>283</v>
      </c>
      <c r="I40" s="92" t="s">
        <v>284</v>
      </c>
      <c r="J40" s="93" t="s">
        <v>285</v>
      </c>
      <c r="K40" s="93" t="s">
        <v>286</v>
      </c>
      <c r="L40" s="87">
        <v>46126.0</v>
      </c>
      <c r="M40" s="87">
        <v>46128.0</v>
      </c>
      <c r="N40" s="144"/>
      <c r="O40" s="145" t="s">
        <v>287</v>
      </c>
      <c r="P40" s="146" t="s">
        <v>288</v>
      </c>
      <c r="Q40" s="92" t="s">
        <v>219</v>
      </c>
      <c r="R40" s="90"/>
      <c r="S40" s="90"/>
      <c r="T40" s="91"/>
      <c r="U40" s="91"/>
      <c r="V40" s="91"/>
      <c r="W40" s="91"/>
      <c r="X40" s="91"/>
      <c r="Y40" s="91"/>
    </row>
    <row r="41">
      <c r="A41" s="24"/>
      <c r="B41" s="24"/>
      <c r="C41" s="24"/>
      <c r="D41" s="24"/>
      <c r="E41" s="24"/>
      <c r="F41" s="24"/>
      <c r="G41" s="24"/>
      <c r="H41" s="24"/>
      <c r="I41" s="92" t="s">
        <v>289</v>
      </c>
      <c r="J41" s="93" t="s">
        <v>285</v>
      </c>
      <c r="K41" s="93" t="s">
        <v>286</v>
      </c>
      <c r="L41" s="87">
        <v>46224.0</v>
      </c>
      <c r="M41" s="87">
        <v>46227.0</v>
      </c>
      <c r="N41" s="144"/>
      <c r="O41" s="145" t="s">
        <v>290</v>
      </c>
      <c r="P41" s="99" t="s">
        <v>291</v>
      </c>
      <c r="Q41" s="92" t="s">
        <v>219</v>
      </c>
      <c r="R41" s="90"/>
      <c r="S41" s="93" t="s">
        <v>292</v>
      </c>
      <c r="T41" s="91"/>
      <c r="U41" s="91"/>
      <c r="V41" s="91"/>
      <c r="W41" s="91"/>
      <c r="X41" s="91"/>
      <c r="Y41" s="91"/>
    </row>
    <row r="42">
      <c r="A42" s="26"/>
      <c r="B42" s="26"/>
      <c r="C42" s="26"/>
      <c r="D42" s="26"/>
      <c r="E42" s="26"/>
      <c r="F42" s="26"/>
      <c r="G42" s="26"/>
      <c r="H42" s="26"/>
      <c r="I42" s="92" t="s">
        <v>293</v>
      </c>
      <c r="J42" s="93" t="s">
        <v>294</v>
      </c>
      <c r="K42" s="93" t="s">
        <v>295</v>
      </c>
      <c r="L42" s="87">
        <v>46196.0</v>
      </c>
      <c r="M42" s="87">
        <v>46198.0</v>
      </c>
      <c r="N42" s="144"/>
      <c r="O42" s="147" t="s">
        <v>296</v>
      </c>
      <c r="P42" s="92" t="s">
        <v>297</v>
      </c>
      <c r="Q42" s="92" t="s">
        <v>89</v>
      </c>
      <c r="R42" s="90"/>
      <c r="S42" s="90"/>
      <c r="T42" s="91"/>
      <c r="U42" s="91"/>
      <c r="V42" s="91"/>
      <c r="W42" s="91"/>
      <c r="X42" s="91"/>
      <c r="Y42" s="91"/>
    </row>
    <row r="43">
      <c r="A43" s="84">
        <v>12.0</v>
      </c>
      <c r="B43" s="84" t="s">
        <v>298</v>
      </c>
      <c r="C43" s="80" t="s">
        <v>299</v>
      </c>
      <c r="D43" s="80" t="s">
        <v>300</v>
      </c>
      <c r="E43" s="95"/>
      <c r="F43" s="80" t="s">
        <v>138</v>
      </c>
      <c r="G43" s="84" t="s">
        <v>301</v>
      </c>
      <c r="H43" s="80" t="s">
        <v>302</v>
      </c>
      <c r="I43" s="92" t="s">
        <v>303</v>
      </c>
      <c r="J43" s="84" t="s">
        <v>142</v>
      </c>
      <c r="K43" s="84" t="s">
        <v>304</v>
      </c>
      <c r="L43" s="142">
        <v>46023.0</v>
      </c>
      <c r="M43" s="142">
        <v>46387.0</v>
      </c>
      <c r="N43" s="143">
        <f>INT(NETWORKDAYS(L43,M43)/5)</f>
        <v>52</v>
      </c>
      <c r="O43" s="148" t="s">
        <v>305</v>
      </c>
      <c r="P43" s="92" t="s">
        <v>306</v>
      </c>
      <c r="Q43" s="93" t="s">
        <v>219</v>
      </c>
      <c r="R43" s="90"/>
      <c r="S43" s="90"/>
      <c r="T43" s="91"/>
      <c r="U43" s="91"/>
      <c r="V43" s="91"/>
      <c r="W43" s="91"/>
      <c r="X43" s="91"/>
      <c r="Y43" s="91"/>
    </row>
    <row r="44">
      <c r="A44" s="26"/>
      <c r="B44" s="26"/>
      <c r="C44" s="26"/>
      <c r="D44" s="26"/>
      <c r="E44" s="26"/>
      <c r="F44" s="26"/>
      <c r="G44" s="26"/>
      <c r="H44" s="26"/>
      <c r="I44" s="92" t="s">
        <v>307</v>
      </c>
      <c r="J44" s="26"/>
      <c r="K44" s="26"/>
      <c r="L44" s="26"/>
      <c r="M44" s="26"/>
      <c r="N44" s="26"/>
      <c r="O44" s="26"/>
      <c r="P44" s="92" t="s">
        <v>308</v>
      </c>
      <c r="Q44" s="93" t="s">
        <v>219</v>
      </c>
      <c r="R44" s="90"/>
      <c r="S44" s="90"/>
      <c r="T44" s="91"/>
      <c r="U44" s="91"/>
      <c r="V44" s="91"/>
      <c r="W44" s="91"/>
      <c r="X44" s="91"/>
      <c r="Y44" s="91"/>
    </row>
    <row r="45">
      <c r="A45" s="93">
        <v>13.0</v>
      </c>
      <c r="B45" s="93" t="s">
        <v>309</v>
      </c>
      <c r="C45" s="92" t="s">
        <v>310</v>
      </c>
      <c r="D45" s="92" t="s">
        <v>310</v>
      </c>
      <c r="E45" s="90"/>
      <c r="F45" s="92" t="s">
        <v>138</v>
      </c>
      <c r="G45" s="149" t="s">
        <v>311</v>
      </c>
      <c r="H45" s="92" t="s">
        <v>312</v>
      </c>
      <c r="I45" s="92" t="s">
        <v>313</v>
      </c>
      <c r="J45" s="93" t="s">
        <v>142</v>
      </c>
      <c r="K45" s="93" t="s">
        <v>99</v>
      </c>
      <c r="L45" s="87">
        <v>46023.0</v>
      </c>
      <c r="M45" s="87">
        <v>46387.0</v>
      </c>
      <c r="N45" s="145">
        <f>INT(NETWORKDAYS(L45,M45)/5)</f>
        <v>52</v>
      </c>
      <c r="O45" s="97"/>
      <c r="P45" s="90"/>
      <c r="Q45" s="93" t="s">
        <v>219</v>
      </c>
      <c r="R45" s="92" t="s">
        <v>314</v>
      </c>
      <c r="S45" s="90"/>
      <c r="T45" s="91"/>
      <c r="U45" s="91"/>
      <c r="V45" s="91"/>
      <c r="W45" s="91"/>
      <c r="X45" s="91"/>
      <c r="Y45" s="91"/>
    </row>
    <row r="46">
      <c r="A46" s="113">
        <v>14.0</v>
      </c>
      <c r="B46" s="113" t="s">
        <v>298</v>
      </c>
      <c r="C46" s="114" t="s">
        <v>315</v>
      </c>
      <c r="D46" s="114" t="s">
        <v>316</v>
      </c>
      <c r="E46" s="150"/>
      <c r="F46" s="150" t="s">
        <v>138</v>
      </c>
      <c r="G46" s="151">
        <v>1.0</v>
      </c>
      <c r="H46" s="114" t="s">
        <v>317</v>
      </c>
      <c r="I46" s="118" t="s">
        <v>318</v>
      </c>
      <c r="J46" s="152" t="s">
        <v>99</v>
      </c>
      <c r="K46" s="111"/>
      <c r="L46" s="122" t="s">
        <v>228</v>
      </c>
      <c r="M46" s="122" t="s">
        <v>216</v>
      </c>
      <c r="N46" s="120" t="s">
        <v>217</v>
      </c>
      <c r="O46" s="109"/>
      <c r="P46" s="153"/>
      <c r="Q46" s="103" t="s">
        <v>89</v>
      </c>
      <c r="R46" s="111"/>
      <c r="S46" s="111"/>
      <c r="T46" s="112"/>
      <c r="U46" s="112"/>
      <c r="V46" s="112"/>
      <c r="W46" s="112"/>
      <c r="X46" s="112"/>
      <c r="Y46" s="112"/>
    </row>
    <row r="47">
      <c r="A47" s="26"/>
      <c r="B47" s="26"/>
      <c r="C47" s="26"/>
      <c r="D47" s="26"/>
      <c r="E47" s="26"/>
      <c r="F47" s="26"/>
      <c r="G47" s="26"/>
      <c r="H47" s="26"/>
      <c r="I47" s="118" t="s">
        <v>319</v>
      </c>
      <c r="J47" s="152" t="s">
        <v>99</v>
      </c>
      <c r="K47" s="111"/>
      <c r="L47" s="122" t="s">
        <v>228</v>
      </c>
      <c r="M47" s="122" t="s">
        <v>216</v>
      </c>
      <c r="N47" s="120" t="s">
        <v>217</v>
      </c>
      <c r="O47" s="109"/>
      <c r="P47" s="153"/>
      <c r="Q47" s="103" t="s">
        <v>89</v>
      </c>
      <c r="R47" s="111"/>
      <c r="S47" s="111"/>
      <c r="T47" s="112"/>
      <c r="U47" s="112"/>
      <c r="V47" s="112"/>
      <c r="W47" s="112"/>
      <c r="X47" s="112"/>
      <c r="Y47" s="112"/>
    </row>
    <row r="48">
      <c r="A48" s="154">
        <v>15.0</v>
      </c>
      <c r="B48" s="150"/>
      <c r="C48" s="150"/>
      <c r="D48" s="113" t="s">
        <v>320</v>
      </c>
      <c r="E48" s="113" t="s">
        <v>320</v>
      </c>
      <c r="F48" s="155">
        <v>12.86</v>
      </c>
      <c r="G48" s="155">
        <v>55.0</v>
      </c>
      <c r="H48" s="156" t="s">
        <v>321</v>
      </c>
      <c r="I48" s="111" t="s">
        <v>322</v>
      </c>
      <c r="J48" s="157" t="s">
        <v>55</v>
      </c>
      <c r="K48" s="150"/>
      <c r="L48" s="107" t="s">
        <v>323</v>
      </c>
      <c r="M48" s="107" t="s">
        <v>324</v>
      </c>
      <c r="N48" s="158">
        <v>1.0</v>
      </c>
      <c r="O48" s="159"/>
      <c r="P48" s="111" t="s">
        <v>325</v>
      </c>
      <c r="Q48" s="110" t="s">
        <v>144</v>
      </c>
      <c r="R48" s="111"/>
      <c r="S48" s="111"/>
      <c r="T48" s="112"/>
      <c r="U48" s="112"/>
      <c r="V48" s="112"/>
      <c r="W48" s="112"/>
      <c r="X48" s="112"/>
      <c r="Y48" s="112"/>
    </row>
    <row r="49">
      <c r="A49" s="24"/>
      <c r="B49" s="24"/>
      <c r="C49" s="24"/>
      <c r="D49" s="24"/>
      <c r="E49" s="24"/>
      <c r="F49" s="24"/>
      <c r="G49" s="24"/>
      <c r="H49" s="24"/>
      <c r="I49" s="111" t="s">
        <v>326</v>
      </c>
      <c r="J49" s="24"/>
      <c r="K49" s="24"/>
      <c r="L49" s="107" t="s">
        <v>327</v>
      </c>
      <c r="M49" s="107" t="s">
        <v>328</v>
      </c>
      <c r="N49" s="158">
        <v>1.0</v>
      </c>
      <c r="O49" s="159"/>
      <c r="P49" s="111" t="s">
        <v>325</v>
      </c>
      <c r="Q49" s="111"/>
      <c r="R49" s="111"/>
      <c r="S49" s="111"/>
      <c r="T49" s="112"/>
      <c r="U49" s="112"/>
      <c r="V49" s="112"/>
      <c r="W49" s="112"/>
      <c r="X49" s="112"/>
      <c r="Y49" s="112"/>
    </row>
    <row r="50">
      <c r="A50" s="24"/>
      <c r="B50" s="24"/>
      <c r="C50" s="24"/>
      <c r="D50" s="24"/>
      <c r="E50" s="24"/>
      <c r="F50" s="24"/>
      <c r="G50" s="24"/>
      <c r="H50" s="24"/>
      <c r="I50" s="111" t="s">
        <v>329</v>
      </c>
      <c r="J50" s="24"/>
      <c r="K50" s="24"/>
      <c r="L50" s="107" t="s">
        <v>330</v>
      </c>
      <c r="M50" s="107" t="s">
        <v>331</v>
      </c>
      <c r="N50" s="158">
        <v>1.0</v>
      </c>
      <c r="O50" s="159"/>
      <c r="P50" s="111" t="s">
        <v>325</v>
      </c>
      <c r="Q50" s="111"/>
      <c r="R50" s="111"/>
      <c r="S50" s="111"/>
      <c r="T50" s="112"/>
      <c r="U50" s="112"/>
      <c r="V50" s="112"/>
      <c r="W50" s="112"/>
      <c r="X50" s="112"/>
      <c r="Y50" s="112"/>
    </row>
    <row r="51">
      <c r="A51" s="24"/>
      <c r="B51" s="24"/>
      <c r="C51" s="24"/>
      <c r="D51" s="24"/>
      <c r="E51" s="24"/>
      <c r="F51" s="24"/>
      <c r="G51" s="24"/>
      <c r="H51" s="26"/>
      <c r="I51" s="111" t="s">
        <v>332</v>
      </c>
      <c r="J51" s="24"/>
      <c r="K51" s="24"/>
      <c r="L51" s="160" t="s">
        <v>333</v>
      </c>
      <c r="M51" s="160" t="s">
        <v>334</v>
      </c>
      <c r="N51" s="160">
        <v>3.0</v>
      </c>
      <c r="O51" s="111"/>
      <c r="P51" s="111" t="s">
        <v>335</v>
      </c>
      <c r="Q51" s="111"/>
      <c r="R51" s="111"/>
      <c r="S51" s="111"/>
      <c r="T51" s="112"/>
      <c r="U51" s="112"/>
      <c r="V51" s="112"/>
      <c r="W51" s="112"/>
      <c r="X51" s="112"/>
      <c r="Y51" s="161"/>
    </row>
    <row r="52">
      <c r="A52" s="24"/>
      <c r="B52" s="24"/>
      <c r="C52" s="24"/>
      <c r="D52" s="24"/>
      <c r="E52" s="24"/>
      <c r="F52" s="24"/>
      <c r="G52" s="24"/>
      <c r="H52" s="156" t="s">
        <v>336</v>
      </c>
      <c r="I52" s="111" t="s">
        <v>337</v>
      </c>
      <c r="J52" s="24"/>
      <c r="K52" s="24"/>
      <c r="L52" s="160" t="s">
        <v>338</v>
      </c>
      <c r="M52" s="160" t="s">
        <v>339</v>
      </c>
      <c r="N52" s="160">
        <v>1.0</v>
      </c>
      <c r="O52" s="111"/>
      <c r="P52" s="111" t="s">
        <v>325</v>
      </c>
      <c r="Q52" s="111"/>
      <c r="R52" s="111"/>
      <c r="S52" s="111"/>
      <c r="T52" s="112"/>
      <c r="U52" s="112"/>
      <c r="V52" s="112"/>
      <c r="W52" s="112"/>
      <c r="X52" s="112"/>
      <c r="Y52" s="161"/>
    </row>
    <row r="53">
      <c r="A53" s="24"/>
      <c r="B53" s="24"/>
      <c r="C53" s="24"/>
      <c r="D53" s="24"/>
      <c r="E53" s="24"/>
      <c r="F53" s="24"/>
      <c r="G53" s="24"/>
      <c r="H53" s="24"/>
      <c r="I53" s="111" t="s">
        <v>340</v>
      </c>
      <c r="J53" s="24"/>
      <c r="K53" s="24"/>
      <c r="L53" s="160" t="s">
        <v>341</v>
      </c>
      <c r="M53" s="160" t="s">
        <v>342</v>
      </c>
      <c r="N53" s="160">
        <v>1.0</v>
      </c>
      <c r="O53" s="111"/>
      <c r="P53" s="111" t="s">
        <v>325</v>
      </c>
      <c r="Q53" s="111"/>
      <c r="R53" s="111"/>
      <c r="S53" s="111"/>
      <c r="T53" s="112"/>
      <c r="U53" s="112"/>
      <c r="V53" s="112"/>
      <c r="W53" s="112"/>
      <c r="X53" s="112"/>
      <c r="Y53" s="161"/>
    </row>
    <row r="54">
      <c r="A54" s="24"/>
      <c r="B54" s="24"/>
      <c r="C54" s="24"/>
      <c r="D54" s="24"/>
      <c r="E54" s="24"/>
      <c r="F54" s="24"/>
      <c r="G54" s="24"/>
      <c r="H54" s="24"/>
      <c r="I54" s="111" t="s">
        <v>343</v>
      </c>
      <c r="J54" s="24"/>
      <c r="K54" s="24"/>
      <c r="L54" s="160" t="s">
        <v>344</v>
      </c>
      <c r="M54" s="160" t="s">
        <v>345</v>
      </c>
      <c r="N54" s="160">
        <v>1.0</v>
      </c>
      <c r="O54" s="111"/>
      <c r="P54" s="111" t="s">
        <v>325</v>
      </c>
      <c r="Q54" s="111"/>
      <c r="R54" s="111"/>
      <c r="S54" s="111"/>
      <c r="T54" s="112"/>
      <c r="U54" s="112"/>
      <c r="V54" s="112"/>
      <c r="W54" s="112"/>
      <c r="X54" s="112"/>
      <c r="Y54" s="161"/>
    </row>
    <row r="55">
      <c r="A55" s="24"/>
      <c r="B55" s="24"/>
      <c r="C55" s="24"/>
      <c r="D55" s="24"/>
      <c r="E55" s="24"/>
      <c r="F55" s="24"/>
      <c r="G55" s="24"/>
      <c r="H55" s="24"/>
      <c r="I55" s="111" t="s">
        <v>346</v>
      </c>
      <c r="J55" s="24"/>
      <c r="K55" s="24"/>
      <c r="L55" s="160" t="s">
        <v>347</v>
      </c>
      <c r="M55" s="160" t="s">
        <v>348</v>
      </c>
      <c r="N55" s="160">
        <v>1.0</v>
      </c>
      <c r="O55" s="111"/>
      <c r="P55" s="111" t="s">
        <v>325</v>
      </c>
      <c r="Q55" s="111"/>
      <c r="R55" s="111"/>
      <c r="S55" s="111"/>
      <c r="T55" s="112"/>
      <c r="U55" s="112"/>
      <c r="V55" s="112"/>
      <c r="W55" s="112"/>
      <c r="X55" s="112"/>
      <c r="Y55" s="161"/>
    </row>
    <row r="56">
      <c r="A56" s="24"/>
      <c r="B56" s="24"/>
      <c r="C56" s="24"/>
      <c r="D56" s="24"/>
      <c r="E56" s="24"/>
      <c r="F56" s="24"/>
      <c r="G56" s="24"/>
      <c r="H56" s="26"/>
      <c r="I56" s="111" t="s">
        <v>349</v>
      </c>
      <c r="J56" s="24"/>
      <c r="K56" s="24"/>
      <c r="L56" s="160" t="s">
        <v>350</v>
      </c>
      <c r="M56" s="160" t="s">
        <v>351</v>
      </c>
      <c r="N56" s="160">
        <v>3.0</v>
      </c>
      <c r="O56" s="111"/>
      <c r="P56" s="111" t="s">
        <v>335</v>
      </c>
      <c r="Q56" s="111"/>
      <c r="R56" s="111"/>
      <c r="S56" s="111"/>
      <c r="T56" s="112"/>
      <c r="U56" s="112"/>
      <c r="V56" s="112"/>
      <c r="W56" s="112"/>
      <c r="X56" s="112"/>
      <c r="Y56" s="161"/>
    </row>
    <row r="57">
      <c r="A57" s="24"/>
      <c r="B57" s="24"/>
      <c r="C57" s="24"/>
      <c r="D57" s="24"/>
      <c r="E57" s="24"/>
      <c r="F57" s="24"/>
      <c r="G57" s="24"/>
      <c r="H57" s="156" t="s">
        <v>352</v>
      </c>
      <c r="I57" s="111" t="s">
        <v>353</v>
      </c>
      <c r="J57" s="24"/>
      <c r="K57" s="24"/>
      <c r="L57" s="160" t="s">
        <v>354</v>
      </c>
      <c r="M57" s="160" t="s">
        <v>355</v>
      </c>
      <c r="N57" s="160">
        <v>1.0</v>
      </c>
      <c r="O57" s="111"/>
      <c r="P57" s="111" t="s">
        <v>356</v>
      </c>
      <c r="Q57" s="111"/>
      <c r="R57" s="111"/>
      <c r="S57" s="111"/>
      <c r="T57" s="112"/>
      <c r="U57" s="112"/>
      <c r="V57" s="112"/>
      <c r="W57" s="112"/>
      <c r="X57" s="112"/>
      <c r="Y57" s="161"/>
    </row>
    <row r="58">
      <c r="A58" s="24"/>
      <c r="B58" s="24"/>
      <c r="C58" s="24"/>
      <c r="D58" s="24"/>
      <c r="E58" s="24"/>
      <c r="F58" s="24"/>
      <c r="G58" s="24"/>
      <c r="H58" s="24"/>
      <c r="I58" s="111" t="s">
        <v>357</v>
      </c>
      <c r="J58" s="24"/>
      <c r="K58" s="24"/>
      <c r="L58" s="160" t="s">
        <v>333</v>
      </c>
      <c r="M58" s="160" t="s">
        <v>358</v>
      </c>
      <c r="N58" s="160">
        <v>1.0</v>
      </c>
      <c r="O58" s="111"/>
      <c r="P58" s="111" t="s">
        <v>356</v>
      </c>
      <c r="Q58" s="111"/>
      <c r="R58" s="111"/>
      <c r="S58" s="111"/>
      <c r="T58" s="112"/>
      <c r="U58" s="112"/>
      <c r="V58" s="112"/>
      <c r="W58" s="112"/>
      <c r="X58" s="112"/>
      <c r="Y58" s="161"/>
    </row>
    <row r="59">
      <c r="A59" s="24"/>
      <c r="B59" s="24"/>
      <c r="C59" s="24"/>
      <c r="D59" s="24"/>
      <c r="E59" s="24"/>
      <c r="F59" s="24"/>
      <c r="G59" s="24"/>
      <c r="H59" s="24"/>
      <c r="I59" s="111" t="s">
        <v>359</v>
      </c>
      <c r="J59" s="24"/>
      <c r="K59" s="24"/>
      <c r="L59" s="160" t="s">
        <v>360</v>
      </c>
      <c r="M59" s="160" t="s">
        <v>361</v>
      </c>
      <c r="N59" s="160">
        <v>1.0</v>
      </c>
      <c r="O59" s="111"/>
      <c r="P59" s="111" t="s">
        <v>356</v>
      </c>
      <c r="Q59" s="111"/>
      <c r="R59" s="111"/>
      <c r="S59" s="111"/>
      <c r="T59" s="112"/>
      <c r="U59" s="112"/>
      <c r="V59" s="112"/>
      <c r="W59" s="112"/>
      <c r="X59" s="112"/>
      <c r="Y59" s="161"/>
    </row>
    <row r="60">
      <c r="A60" s="24"/>
      <c r="B60" s="24"/>
      <c r="C60" s="24"/>
      <c r="D60" s="24"/>
      <c r="E60" s="24"/>
      <c r="F60" s="24"/>
      <c r="G60" s="24"/>
      <c r="H60" s="26"/>
      <c r="I60" s="111" t="s">
        <v>332</v>
      </c>
      <c r="J60" s="24"/>
      <c r="K60" s="24"/>
      <c r="L60" s="160" t="s">
        <v>362</v>
      </c>
      <c r="M60" s="160" t="s">
        <v>363</v>
      </c>
      <c r="N60" s="160">
        <v>4.0</v>
      </c>
      <c r="O60" s="111"/>
      <c r="P60" s="111" t="s">
        <v>364</v>
      </c>
      <c r="Q60" s="111"/>
      <c r="R60" s="111"/>
      <c r="S60" s="111"/>
      <c r="T60" s="112"/>
      <c r="U60" s="112"/>
      <c r="V60" s="112"/>
      <c r="W60" s="112"/>
      <c r="X60" s="112"/>
      <c r="Y60" s="161"/>
    </row>
    <row r="61">
      <c r="A61" s="24"/>
      <c r="B61" s="24"/>
      <c r="C61" s="24"/>
      <c r="D61" s="24"/>
      <c r="E61" s="24"/>
      <c r="F61" s="24"/>
      <c r="G61" s="24"/>
      <c r="H61" s="156" t="s">
        <v>365</v>
      </c>
      <c r="I61" s="111" t="s">
        <v>366</v>
      </c>
      <c r="J61" s="24"/>
      <c r="K61" s="24"/>
      <c r="L61" s="160" t="s">
        <v>367</v>
      </c>
      <c r="M61" s="160" t="s">
        <v>368</v>
      </c>
      <c r="N61" s="160">
        <v>1.0</v>
      </c>
      <c r="O61" s="111"/>
      <c r="P61" s="111" t="s">
        <v>356</v>
      </c>
      <c r="Q61" s="111"/>
      <c r="R61" s="111"/>
      <c r="S61" s="111"/>
      <c r="T61" s="112"/>
      <c r="U61" s="112"/>
      <c r="V61" s="112"/>
      <c r="W61" s="112"/>
      <c r="X61" s="112"/>
      <c r="Y61" s="161"/>
    </row>
    <row r="62">
      <c r="A62" s="24"/>
      <c r="B62" s="24"/>
      <c r="C62" s="24"/>
      <c r="D62" s="24"/>
      <c r="E62" s="24"/>
      <c r="F62" s="24"/>
      <c r="G62" s="24"/>
      <c r="H62" s="24"/>
      <c r="I62" s="111" t="s">
        <v>369</v>
      </c>
      <c r="J62" s="24"/>
      <c r="K62" s="24"/>
      <c r="L62" s="160" t="s">
        <v>370</v>
      </c>
      <c r="M62" s="160" t="s">
        <v>371</v>
      </c>
      <c r="N62" s="160">
        <v>1.0</v>
      </c>
      <c r="O62" s="111"/>
      <c r="P62" s="111" t="s">
        <v>356</v>
      </c>
      <c r="Q62" s="111"/>
      <c r="R62" s="111"/>
      <c r="S62" s="111"/>
      <c r="T62" s="112"/>
      <c r="U62" s="112"/>
      <c r="V62" s="112"/>
      <c r="W62" s="112"/>
      <c r="X62" s="112"/>
      <c r="Y62" s="161"/>
    </row>
    <row r="63">
      <c r="A63" s="24"/>
      <c r="B63" s="24"/>
      <c r="C63" s="24"/>
      <c r="D63" s="24"/>
      <c r="E63" s="24"/>
      <c r="F63" s="24"/>
      <c r="G63" s="24"/>
      <c r="H63" s="24"/>
      <c r="I63" s="111" t="s">
        <v>343</v>
      </c>
      <c r="J63" s="24"/>
      <c r="K63" s="24"/>
      <c r="L63" s="160" t="s">
        <v>372</v>
      </c>
      <c r="M63" s="160" t="s">
        <v>373</v>
      </c>
      <c r="N63" s="160">
        <v>1.0</v>
      </c>
      <c r="O63" s="111"/>
      <c r="P63" s="111" t="s">
        <v>356</v>
      </c>
      <c r="Q63" s="111"/>
      <c r="R63" s="111"/>
      <c r="S63" s="111"/>
      <c r="T63" s="112"/>
      <c r="U63" s="112"/>
      <c r="V63" s="112"/>
      <c r="W63" s="112"/>
      <c r="X63" s="112"/>
      <c r="Y63" s="161"/>
    </row>
    <row r="64">
      <c r="A64" s="24"/>
      <c r="B64" s="24"/>
      <c r="C64" s="24"/>
      <c r="D64" s="24"/>
      <c r="E64" s="24"/>
      <c r="F64" s="24"/>
      <c r="G64" s="24"/>
      <c r="H64" s="24"/>
      <c r="I64" s="111" t="s">
        <v>374</v>
      </c>
      <c r="J64" s="24"/>
      <c r="K64" s="24"/>
      <c r="L64" s="160" t="s">
        <v>375</v>
      </c>
      <c r="M64" s="160" t="s">
        <v>351</v>
      </c>
      <c r="N64" s="160">
        <v>1.0</v>
      </c>
      <c r="O64" s="111"/>
      <c r="P64" s="111" t="s">
        <v>356</v>
      </c>
      <c r="Q64" s="111"/>
      <c r="R64" s="111"/>
      <c r="S64" s="111"/>
      <c r="T64" s="112"/>
      <c r="U64" s="112"/>
      <c r="V64" s="112"/>
      <c r="W64" s="112"/>
      <c r="X64" s="112"/>
      <c r="Y64" s="161"/>
    </row>
    <row r="65">
      <c r="A65" s="26"/>
      <c r="B65" s="26"/>
      <c r="C65" s="26"/>
      <c r="D65" s="26"/>
      <c r="E65" s="26"/>
      <c r="F65" s="26"/>
      <c r="G65" s="26"/>
      <c r="H65" s="26"/>
      <c r="I65" s="111" t="s">
        <v>376</v>
      </c>
      <c r="J65" s="24"/>
      <c r="K65" s="26"/>
      <c r="L65" s="160" t="s">
        <v>377</v>
      </c>
      <c r="M65" s="160" t="s">
        <v>378</v>
      </c>
      <c r="N65" s="160">
        <v>4.0</v>
      </c>
      <c r="O65" s="111"/>
      <c r="P65" s="111" t="s">
        <v>364</v>
      </c>
      <c r="Q65" s="111"/>
      <c r="R65" s="111"/>
      <c r="S65" s="111"/>
      <c r="T65" s="112"/>
      <c r="U65" s="112"/>
      <c r="V65" s="112"/>
      <c r="W65" s="112"/>
      <c r="X65" s="112"/>
      <c r="Y65" s="161"/>
    </row>
    <row r="66" ht="171.0" customHeight="1">
      <c r="A66" s="162">
        <v>16.0</v>
      </c>
      <c r="B66" s="111"/>
      <c r="C66" s="111"/>
      <c r="D66" s="114" t="s">
        <v>379</v>
      </c>
      <c r="E66" s="114" t="s">
        <v>379</v>
      </c>
      <c r="F66" s="155" t="s">
        <v>380</v>
      </c>
      <c r="G66" s="155" t="s">
        <v>380</v>
      </c>
      <c r="H66" s="163" t="s">
        <v>381</v>
      </c>
      <c r="I66" s="118" t="s">
        <v>382</v>
      </c>
      <c r="J66" s="157" t="s">
        <v>55</v>
      </c>
      <c r="K66" s="111"/>
      <c r="L66" s="111"/>
      <c r="M66" s="111"/>
      <c r="N66" s="111"/>
      <c r="O66" s="111"/>
      <c r="P66" s="111"/>
      <c r="Q66" s="111"/>
      <c r="R66" s="111"/>
      <c r="S66" s="111"/>
      <c r="T66" s="112"/>
      <c r="U66" s="112"/>
      <c r="V66" s="112"/>
      <c r="W66" s="112"/>
      <c r="X66" s="112"/>
      <c r="Y66" s="161"/>
    </row>
    <row r="67" ht="171.0" customHeight="1">
      <c r="A67" s="162"/>
      <c r="B67" s="111"/>
      <c r="C67" s="111"/>
      <c r="D67" s="24"/>
      <c r="E67" s="24"/>
      <c r="F67" s="24"/>
      <c r="G67" s="24"/>
      <c r="H67" s="24"/>
      <c r="I67" s="118" t="s">
        <v>383</v>
      </c>
      <c r="J67" s="24"/>
      <c r="K67" s="111"/>
      <c r="L67" s="111"/>
      <c r="M67" s="111"/>
      <c r="N67" s="111"/>
      <c r="O67" s="111"/>
      <c r="P67" s="111"/>
      <c r="Q67" s="111"/>
      <c r="R67" s="111"/>
      <c r="S67" s="111"/>
      <c r="T67" s="112"/>
      <c r="U67" s="112"/>
      <c r="V67" s="112"/>
      <c r="W67" s="112"/>
      <c r="X67" s="112"/>
      <c r="Y67" s="161"/>
    </row>
    <row r="68" ht="171.0" customHeight="1">
      <c r="A68" s="162"/>
      <c r="B68" s="111"/>
      <c r="C68" s="111"/>
      <c r="D68" s="24"/>
      <c r="E68" s="24"/>
      <c r="F68" s="26"/>
      <c r="G68" s="26"/>
      <c r="H68" s="26"/>
      <c r="I68" s="118" t="s">
        <v>384</v>
      </c>
      <c r="J68" s="24"/>
      <c r="K68" s="111"/>
      <c r="L68" s="111"/>
      <c r="M68" s="111"/>
      <c r="N68" s="111"/>
      <c r="O68" s="111"/>
      <c r="P68" s="111"/>
      <c r="Q68" s="111"/>
      <c r="R68" s="111"/>
      <c r="S68" s="111"/>
      <c r="T68" s="112"/>
      <c r="U68" s="112"/>
      <c r="V68" s="112"/>
      <c r="W68" s="112"/>
      <c r="X68" s="112"/>
      <c r="Y68" s="161"/>
    </row>
    <row r="69" ht="171.0" customHeight="1">
      <c r="A69" s="162"/>
      <c r="B69" s="111"/>
      <c r="C69" s="111"/>
      <c r="D69" s="24"/>
      <c r="E69" s="24"/>
      <c r="F69" s="164" t="s">
        <v>385</v>
      </c>
      <c r="G69" s="164" t="s">
        <v>385</v>
      </c>
      <c r="H69" s="115" t="s">
        <v>386</v>
      </c>
      <c r="I69" s="118" t="s">
        <v>387</v>
      </c>
      <c r="J69" s="26"/>
      <c r="K69" s="111"/>
      <c r="L69" s="111"/>
      <c r="M69" s="111"/>
      <c r="N69" s="111"/>
      <c r="O69" s="111"/>
      <c r="P69" s="111"/>
      <c r="Q69" s="111"/>
      <c r="R69" s="111"/>
      <c r="S69" s="111"/>
      <c r="T69" s="112"/>
      <c r="U69" s="112"/>
      <c r="V69" s="112"/>
      <c r="W69" s="112"/>
      <c r="X69" s="112"/>
      <c r="Y69" s="161"/>
    </row>
    <row r="70" ht="171.0" customHeight="1">
      <c r="A70" s="162"/>
      <c r="B70" s="111"/>
      <c r="C70" s="111"/>
      <c r="D70" s="24"/>
      <c r="E70" s="24"/>
      <c r="F70" s="24"/>
      <c r="G70" s="24"/>
      <c r="H70" s="24"/>
      <c r="I70" s="118" t="s">
        <v>388</v>
      </c>
      <c r="J70" s="160"/>
      <c r="K70" s="111"/>
      <c r="L70" s="111"/>
      <c r="M70" s="111"/>
      <c r="N70" s="111"/>
      <c r="O70" s="111"/>
      <c r="P70" s="111"/>
      <c r="Q70" s="111"/>
      <c r="R70" s="111"/>
      <c r="S70" s="111"/>
      <c r="T70" s="112"/>
      <c r="U70" s="112"/>
      <c r="V70" s="112"/>
      <c r="W70" s="112"/>
      <c r="X70" s="112"/>
      <c r="Y70" s="161"/>
    </row>
    <row r="71" ht="171.0" customHeight="1">
      <c r="A71" s="162"/>
      <c r="B71" s="111"/>
      <c r="C71" s="111"/>
      <c r="D71" s="26"/>
      <c r="E71" s="26"/>
      <c r="F71" s="26"/>
      <c r="G71" s="26"/>
      <c r="H71" s="26"/>
      <c r="I71" s="118" t="s">
        <v>384</v>
      </c>
      <c r="J71" s="160"/>
      <c r="K71" s="111"/>
      <c r="L71" s="111"/>
      <c r="M71" s="111"/>
      <c r="N71" s="111"/>
      <c r="O71" s="111"/>
      <c r="P71" s="111"/>
      <c r="Q71" s="111"/>
      <c r="R71" s="111"/>
      <c r="S71" s="111"/>
      <c r="T71" s="112"/>
      <c r="U71" s="112"/>
      <c r="V71" s="112"/>
      <c r="W71" s="112"/>
      <c r="X71" s="112"/>
      <c r="Y71" s="161"/>
    </row>
    <row r="72" ht="171.0" customHeight="1">
      <c r="A72" s="162">
        <v>17.0</v>
      </c>
      <c r="B72" s="111"/>
      <c r="C72" s="111"/>
      <c r="D72" s="114" t="s">
        <v>389</v>
      </c>
      <c r="E72" s="155" t="s">
        <v>390</v>
      </c>
      <c r="F72" s="155" t="s">
        <v>391</v>
      </c>
      <c r="G72" s="155" t="s">
        <v>392</v>
      </c>
      <c r="H72" s="124" t="s">
        <v>393</v>
      </c>
      <c r="I72" s="118" t="s">
        <v>394</v>
      </c>
      <c r="J72" s="157" t="s">
        <v>55</v>
      </c>
      <c r="K72" s="165"/>
      <c r="L72" s="119">
        <v>46174.0</v>
      </c>
      <c r="M72" s="119">
        <v>46174.0</v>
      </c>
      <c r="N72" s="110">
        <v>1.0</v>
      </c>
      <c r="O72" s="111"/>
      <c r="P72" s="118" t="s">
        <v>395</v>
      </c>
      <c r="Q72" s="111"/>
      <c r="R72" s="111"/>
      <c r="S72" s="111"/>
      <c r="T72" s="112"/>
      <c r="U72" s="112"/>
      <c r="V72" s="112"/>
      <c r="W72" s="112"/>
      <c r="X72" s="112"/>
      <c r="Y72" s="161"/>
    </row>
    <row r="73" ht="103.5" customHeight="1">
      <c r="A73" s="111"/>
      <c r="B73" s="166"/>
      <c r="C73" s="111"/>
      <c r="D73" s="24"/>
      <c r="E73" s="24"/>
      <c r="F73" s="24"/>
      <c r="G73" s="24"/>
      <c r="H73" s="118" t="s">
        <v>396</v>
      </c>
      <c r="I73" s="118" t="s">
        <v>397</v>
      </c>
      <c r="J73" s="24"/>
      <c r="K73" s="165"/>
      <c r="L73" s="119">
        <v>46174.0</v>
      </c>
      <c r="M73" s="119">
        <v>46174.0</v>
      </c>
      <c r="N73" s="110">
        <v>1.0</v>
      </c>
      <c r="O73" s="111"/>
      <c r="P73" s="118" t="s">
        <v>395</v>
      </c>
      <c r="Q73" s="111"/>
      <c r="R73" s="111"/>
      <c r="S73" s="111"/>
      <c r="T73" s="112"/>
      <c r="U73" s="112"/>
      <c r="V73" s="112"/>
      <c r="W73" s="112"/>
      <c r="X73" s="112"/>
      <c r="Y73" s="161"/>
    </row>
    <row r="74" ht="188.25" customHeight="1">
      <c r="A74" s="111"/>
      <c r="B74" s="111"/>
      <c r="C74" s="111"/>
      <c r="D74" s="24"/>
      <c r="E74" s="24"/>
      <c r="F74" s="24"/>
      <c r="G74" s="24"/>
      <c r="H74" s="118" t="s">
        <v>398</v>
      </c>
      <c r="I74" s="118" t="s">
        <v>399</v>
      </c>
      <c r="J74" s="24"/>
      <c r="K74" s="165"/>
      <c r="L74" s="152" t="s">
        <v>189</v>
      </c>
      <c r="M74" s="152" t="s">
        <v>189</v>
      </c>
      <c r="N74" s="110">
        <v>1.0</v>
      </c>
      <c r="O74" s="111"/>
      <c r="P74" s="118" t="s">
        <v>400</v>
      </c>
      <c r="Q74" s="111"/>
      <c r="R74" s="111"/>
      <c r="S74" s="111"/>
      <c r="T74" s="112"/>
      <c r="U74" s="112"/>
      <c r="V74" s="112"/>
      <c r="W74" s="112"/>
      <c r="X74" s="112"/>
      <c r="Y74" s="161"/>
    </row>
    <row r="75" ht="119.25" customHeight="1">
      <c r="A75" s="111"/>
      <c r="B75" s="111"/>
      <c r="C75" s="111"/>
      <c r="D75" s="26"/>
      <c r="E75" s="26"/>
      <c r="F75" s="26"/>
      <c r="G75" s="26"/>
      <c r="H75" s="118" t="s">
        <v>401</v>
      </c>
      <c r="I75" s="118" t="s">
        <v>402</v>
      </c>
      <c r="J75" s="26"/>
      <c r="K75" s="165"/>
      <c r="L75" s="152" t="s">
        <v>189</v>
      </c>
      <c r="M75" s="152" t="s">
        <v>189</v>
      </c>
      <c r="N75" s="110">
        <v>1.0</v>
      </c>
      <c r="O75" s="111"/>
      <c r="P75" s="118" t="s">
        <v>400</v>
      </c>
      <c r="Q75" s="111"/>
      <c r="R75" s="111"/>
      <c r="S75" s="111"/>
      <c r="T75" s="112"/>
      <c r="U75" s="112"/>
      <c r="V75" s="112"/>
      <c r="W75" s="112"/>
      <c r="X75" s="112"/>
      <c r="Y75" s="161"/>
    </row>
    <row r="76" ht="119.25" customHeight="1">
      <c r="A76" s="162">
        <v>18.0</v>
      </c>
      <c r="B76" s="111"/>
      <c r="C76" s="111"/>
      <c r="D76" s="114" t="s">
        <v>403</v>
      </c>
      <c r="E76" s="117" t="s">
        <v>404</v>
      </c>
      <c r="F76" s="167" t="s">
        <v>405</v>
      </c>
      <c r="G76" s="167" t="s">
        <v>406</v>
      </c>
      <c r="H76" s="118" t="s">
        <v>407</v>
      </c>
      <c r="I76" s="118" t="s">
        <v>408</v>
      </c>
      <c r="J76" s="157" t="s">
        <v>55</v>
      </c>
      <c r="K76" s="111"/>
      <c r="L76" s="152" t="s">
        <v>189</v>
      </c>
      <c r="M76" s="152" t="s">
        <v>189</v>
      </c>
      <c r="N76" s="152" t="s">
        <v>186</v>
      </c>
      <c r="O76" s="111"/>
      <c r="P76" s="118" t="s">
        <v>395</v>
      </c>
      <c r="Q76" s="111"/>
      <c r="R76" s="111"/>
      <c r="S76" s="111"/>
      <c r="T76" s="112"/>
      <c r="U76" s="112"/>
      <c r="V76" s="112"/>
      <c r="W76" s="112"/>
      <c r="X76" s="112"/>
      <c r="Y76" s="161"/>
    </row>
    <row r="77" ht="162.75" customHeight="1">
      <c r="A77" s="162"/>
      <c r="B77" s="111"/>
      <c r="C77" s="111"/>
      <c r="D77" s="26"/>
      <c r="E77" s="26"/>
      <c r="F77" s="26"/>
      <c r="G77" s="26"/>
      <c r="H77" s="118" t="s">
        <v>409</v>
      </c>
      <c r="I77" s="118" t="s">
        <v>410</v>
      </c>
      <c r="J77" s="26"/>
      <c r="K77" s="111"/>
      <c r="L77" s="152" t="s">
        <v>189</v>
      </c>
      <c r="M77" s="152" t="s">
        <v>189</v>
      </c>
      <c r="N77" s="152" t="s">
        <v>186</v>
      </c>
      <c r="O77" s="111"/>
      <c r="P77" s="118" t="s">
        <v>400</v>
      </c>
      <c r="Q77" s="111"/>
      <c r="R77" s="111"/>
      <c r="S77" s="111"/>
      <c r="T77" s="112"/>
      <c r="U77" s="112"/>
      <c r="V77" s="112"/>
      <c r="W77" s="112"/>
      <c r="X77" s="112"/>
      <c r="Y77" s="161"/>
    </row>
    <row r="78" ht="162.75" customHeight="1">
      <c r="A78" s="162">
        <v>19.0</v>
      </c>
      <c r="B78" s="111"/>
      <c r="C78" s="111"/>
      <c r="D78" s="103" t="s">
        <v>411</v>
      </c>
      <c r="E78" s="111"/>
      <c r="F78" s="160" t="s">
        <v>138</v>
      </c>
      <c r="G78" s="160" t="s">
        <v>412</v>
      </c>
      <c r="H78" s="111" t="s">
        <v>413</v>
      </c>
      <c r="I78" s="111"/>
      <c r="J78" s="160"/>
      <c r="K78" s="111"/>
      <c r="L78" s="111"/>
      <c r="M78" s="111"/>
      <c r="N78" s="111"/>
      <c r="O78" s="111"/>
      <c r="P78" s="111"/>
      <c r="Q78" s="111"/>
      <c r="R78" s="111"/>
      <c r="S78" s="111"/>
      <c r="T78" s="112"/>
      <c r="U78" s="112"/>
      <c r="V78" s="112"/>
      <c r="W78" s="112"/>
      <c r="X78" s="112"/>
      <c r="Y78" s="161"/>
    </row>
    <row r="79" ht="162.75" customHeight="1">
      <c r="A79" s="162">
        <v>20.0</v>
      </c>
      <c r="B79" s="111"/>
      <c r="C79" s="111"/>
      <c r="D79" s="115" t="s">
        <v>414</v>
      </c>
      <c r="E79" s="168" t="s">
        <v>415</v>
      </c>
      <c r="F79" s="169">
        <v>0.4877</v>
      </c>
      <c r="G79" s="169">
        <v>0.6</v>
      </c>
      <c r="H79" s="168" t="s">
        <v>416</v>
      </c>
      <c r="I79" s="110" t="s">
        <v>417</v>
      </c>
      <c r="J79" s="157" t="s">
        <v>55</v>
      </c>
      <c r="K79" s="111"/>
      <c r="L79" s="110" t="s">
        <v>418</v>
      </c>
      <c r="M79" s="111"/>
      <c r="N79" s="111"/>
      <c r="O79" s="111"/>
      <c r="P79" s="111"/>
      <c r="Q79" s="111"/>
      <c r="R79" s="111"/>
      <c r="S79" s="111"/>
      <c r="T79" s="112"/>
      <c r="U79" s="112"/>
      <c r="V79" s="112"/>
      <c r="W79" s="112"/>
      <c r="X79" s="112"/>
      <c r="Y79" s="161"/>
    </row>
    <row r="80" ht="162.75" customHeight="1">
      <c r="A80" s="162"/>
      <c r="B80" s="111"/>
      <c r="C80" s="111"/>
      <c r="D80" s="24"/>
      <c r="E80" s="24"/>
      <c r="F80" s="24"/>
      <c r="G80" s="24"/>
      <c r="H80" s="24"/>
      <c r="I80" s="110" t="s">
        <v>419</v>
      </c>
      <c r="J80" s="24"/>
      <c r="K80" s="111"/>
      <c r="L80" s="111"/>
      <c r="M80" s="111"/>
      <c r="N80" s="111"/>
      <c r="O80" s="111"/>
      <c r="P80" s="111"/>
      <c r="Q80" s="111"/>
      <c r="R80" s="111"/>
      <c r="S80" s="111"/>
      <c r="T80" s="112"/>
      <c r="U80" s="112"/>
      <c r="V80" s="112"/>
      <c r="W80" s="112"/>
      <c r="X80" s="112"/>
      <c r="Y80" s="161"/>
    </row>
    <row r="81" ht="162.75" customHeight="1">
      <c r="A81" s="162"/>
      <c r="B81" s="111"/>
      <c r="C81" s="111"/>
      <c r="D81" s="24"/>
      <c r="E81" s="24"/>
      <c r="F81" s="24"/>
      <c r="G81" s="24"/>
      <c r="H81" s="24"/>
      <c r="I81" s="110" t="s">
        <v>420</v>
      </c>
      <c r="J81" s="24"/>
      <c r="K81" s="111"/>
      <c r="L81" s="111"/>
      <c r="M81" s="111"/>
      <c r="N81" s="111"/>
      <c r="O81" s="111"/>
      <c r="P81" s="111"/>
      <c r="Q81" s="111"/>
      <c r="R81" s="111"/>
      <c r="S81" s="111"/>
      <c r="T81" s="112"/>
      <c r="U81" s="112"/>
      <c r="V81" s="112"/>
      <c r="W81" s="112"/>
      <c r="X81" s="112"/>
      <c r="Y81" s="161"/>
    </row>
    <row r="82" ht="162.75" customHeight="1">
      <c r="A82" s="162"/>
      <c r="B82" s="111"/>
      <c r="C82" s="111"/>
      <c r="D82" s="26"/>
      <c r="E82" s="26"/>
      <c r="F82" s="26"/>
      <c r="G82" s="26"/>
      <c r="H82" s="26"/>
      <c r="I82" s="110" t="s">
        <v>421</v>
      </c>
      <c r="J82" s="26"/>
      <c r="K82" s="111"/>
      <c r="L82" s="111"/>
      <c r="M82" s="111"/>
      <c r="N82" s="111"/>
      <c r="O82" s="111"/>
      <c r="P82" s="111"/>
      <c r="Q82" s="111"/>
      <c r="R82" s="111"/>
      <c r="S82" s="111"/>
      <c r="T82" s="112"/>
      <c r="U82" s="112"/>
      <c r="V82" s="112"/>
      <c r="W82" s="112"/>
      <c r="X82" s="112"/>
      <c r="Y82" s="161"/>
    </row>
    <row r="83" ht="162.75" customHeight="1">
      <c r="A83" s="162">
        <v>21.0</v>
      </c>
      <c r="B83" s="111"/>
      <c r="C83" s="111"/>
      <c r="D83" s="163" t="s">
        <v>422</v>
      </c>
      <c r="E83" s="155" t="s">
        <v>423</v>
      </c>
      <c r="F83" s="154" t="s">
        <v>424</v>
      </c>
      <c r="G83" s="170">
        <v>0.91</v>
      </c>
      <c r="H83" s="150" t="s">
        <v>425</v>
      </c>
      <c r="I83" s="118" t="s">
        <v>426</v>
      </c>
      <c r="J83" s="157" t="s">
        <v>55</v>
      </c>
      <c r="K83" s="111"/>
      <c r="L83" s="152" t="s">
        <v>427</v>
      </c>
      <c r="M83" s="152" t="s">
        <v>428</v>
      </c>
      <c r="N83" s="152" t="s">
        <v>429</v>
      </c>
      <c r="O83" s="111"/>
      <c r="P83" s="111"/>
      <c r="Q83" s="111"/>
      <c r="R83" s="111"/>
      <c r="S83" s="111"/>
      <c r="T83" s="112"/>
      <c r="U83" s="112"/>
      <c r="V83" s="112"/>
      <c r="W83" s="112"/>
      <c r="X83" s="112"/>
      <c r="Y83" s="161"/>
    </row>
    <row r="84" ht="162.75" customHeight="1">
      <c r="A84" s="162"/>
      <c r="B84" s="111"/>
      <c r="C84" s="111"/>
      <c r="D84" s="24"/>
      <c r="E84" s="24"/>
      <c r="F84" s="24"/>
      <c r="G84" s="24"/>
      <c r="H84" s="24"/>
      <c r="I84" s="118" t="s">
        <v>430</v>
      </c>
      <c r="J84" s="24"/>
      <c r="K84" s="111"/>
      <c r="L84" s="152" t="s">
        <v>431</v>
      </c>
      <c r="M84" s="152" t="s">
        <v>432</v>
      </c>
      <c r="N84" s="152" t="s">
        <v>429</v>
      </c>
      <c r="O84" s="111"/>
      <c r="P84" s="111"/>
      <c r="Q84" s="111"/>
      <c r="R84" s="111"/>
      <c r="S84" s="111"/>
      <c r="T84" s="112"/>
      <c r="U84" s="112"/>
      <c r="V84" s="112"/>
      <c r="W84" s="112"/>
      <c r="X84" s="112"/>
      <c r="Y84" s="161"/>
    </row>
    <row r="85" ht="162.75" customHeight="1">
      <c r="A85" s="162"/>
      <c r="B85" s="111"/>
      <c r="C85" s="111"/>
      <c r="D85" s="24"/>
      <c r="E85" s="24"/>
      <c r="F85" s="24"/>
      <c r="G85" s="24"/>
      <c r="H85" s="24"/>
      <c r="I85" s="118" t="s">
        <v>433</v>
      </c>
      <c r="J85" s="24"/>
      <c r="K85" s="111"/>
      <c r="L85" s="171">
        <v>46202.0</v>
      </c>
      <c r="M85" s="152" t="s">
        <v>434</v>
      </c>
      <c r="N85" s="152" t="s">
        <v>435</v>
      </c>
      <c r="O85" s="111"/>
      <c r="P85" s="118" t="s">
        <v>436</v>
      </c>
      <c r="Q85" s="111"/>
      <c r="R85" s="111"/>
      <c r="S85" s="111"/>
      <c r="T85" s="112"/>
      <c r="U85" s="112"/>
      <c r="V85" s="112"/>
      <c r="W85" s="112"/>
      <c r="X85" s="112"/>
      <c r="Y85" s="161"/>
    </row>
    <row r="86" ht="162.75" customHeight="1">
      <c r="A86" s="162"/>
      <c r="B86" s="111"/>
      <c r="C86" s="111"/>
      <c r="D86" s="26"/>
      <c r="E86" s="26"/>
      <c r="F86" s="26"/>
      <c r="G86" s="26"/>
      <c r="H86" s="26"/>
      <c r="I86" s="118" t="s">
        <v>437</v>
      </c>
      <c r="J86" s="26"/>
      <c r="K86" s="111"/>
      <c r="L86" s="152" t="s">
        <v>438</v>
      </c>
      <c r="M86" s="152" t="s">
        <v>439</v>
      </c>
      <c r="N86" s="152" t="s">
        <v>435</v>
      </c>
      <c r="O86" s="111"/>
      <c r="P86" s="118" t="s">
        <v>440</v>
      </c>
      <c r="Q86" s="111"/>
      <c r="R86" s="111"/>
      <c r="S86" s="111"/>
      <c r="T86" s="112"/>
      <c r="U86" s="112"/>
      <c r="V86" s="112"/>
      <c r="W86" s="112"/>
      <c r="X86" s="112"/>
      <c r="Y86" s="161"/>
    </row>
    <row r="87" ht="162.75" customHeight="1">
      <c r="A87" s="162">
        <v>22.0</v>
      </c>
      <c r="B87" s="111"/>
      <c r="C87" s="111"/>
      <c r="D87" s="172" t="s">
        <v>441</v>
      </c>
      <c r="E87" s="111"/>
      <c r="F87" s="160">
        <v>80.77</v>
      </c>
      <c r="G87" s="173">
        <v>0.82</v>
      </c>
      <c r="H87" s="111" t="s">
        <v>442</v>
      </c>
      <c r="I87" s="111"/>
      <c r="J87" s="160" t="s">
        <v>55</v>
      </c>
      <c r="K87" s="111"/>
      <c r="L87" s="111"/>
      <c r="M87" s="111"/>
      <c r="N87" s="111"/>
      <c r="O87" s="111"/>
      <c r="P87" s="111"/>
      <c r="Q87" s="111"/>
      <c r="R87" s="111"/>
      <c r="S87" s="111"/>
      <c r="T87" s="112"/>
      <c r="U87" s="112"/>
      <c r="V87" s="112"/>
      <c r="W87" s="112"/>
      <c r="X87" s="112"/>
      <c r="Y87" s="161"/>
    </row>
    <row r="88" ht="162.75" customHeight="1">
      <c r="A88" s="162">
        <v>23.0</v>
      </c>
      <c r="B88" s="111"/>
      <c r="C88" s="111"/>
      <c r="D88" s="114" t="s">
        <v>443</v>
      </c>
      <c r="E88" s="114" t="s">
        <v>443</v>
      </c>
      <c r="F88" s="116">
        <v>0.3089</v>
      </c>
      <c r="G88" s="151">
        <v>0.35</v>
      </c>
      <c r="H88" s="115" t="s">
        <v>444</v>
      </c>
      <c r="I88" s="118" t="s">
        <v>445</v>
      </c>
      <c r="J88" s="157" t="s">
        <v>55</v>
      </c>
      <c r="K88" s="111"/>
      <c r="L88" s="152" t="s">
        <v>446</v>
      </c>
      <c r="M88" s="152" t="s">
        <v>447</v>
      </c>
      <c r="N88" s="152" t="s">
        <v>448</v>
      </c>
      <c r="O88" s="111"/>
      <c r="P88" s="118" t="s">
        <v>449</v>
      </c>
      <c r="Q88" s="111"/>
      <c r="R88" s="111"/>
      <c r="S88" s="111"/>
      <c r="T88" s="112"/>
      <c r="U88" s="112"/>
      <c r="V88" s="112"/>
      <c r="W88" s="112"/>
      <c r="X88" s="112"/>
      <c r="Y88" s="161"/>
    </row>
    <row r="89" ht="162.75" customHeight="1">
      <c r="A89" s="162"/>
      <c r="B89" s="111"/>
      <c r="C89" s="111"/>
      <c r="D89" s="24"/>
      <c r="E89" s="24"/>
      <c r="F89" s="24"/>
      <c r="G89" s="24"/>
      <c r="H89" s="24"/>
      <c r="I89" s="118" t="s">
        <v>450</v>
      </c>
      <c r="J89" s="24"/>
      <c r="K89" s="111"/>
      <c r="L89" s="152" t="s">
        <v>451</v>
      </c>
      <c r="M89" s="152" t="s">
        <v>451</v>
      </c>
      <c r="N89" s="174"/>
      <c r="O89" s="111"/>
      <c r="P89" s="118" t="s">
        <v>452</v>
      </c>
      <c r="Q89" s="111"/>
      <c r="R89" s="111"/>
      <c r="S89" s="111"/>
      <c r="T89" s="112"/>
      <c r="U89" s="112"/>
      <c r="V89" s="112"/>
      <c r="W89" s="112"/>
      <c r="X89" s="112"/>
      <c r="Y89" s="161"/>
    </row>
    <row r="90" ht="162.75" customHeight="1">
      <c r="A90" s="162"/>
      <c r="B90" s="111"/>
      <c r="C90" s="111"/>
      <c r="D90" s="26"/>
      <c r="E90" s="26"/>
      <c r="F90" s="26"/>
      <c r="G90" s="26"/>
      <c r="H90" s="26"/>
      <c r="I90" s="118" t="s">
        <v>453</v>
      </c>
      <c r="J90" s="26"/>
      <c r="K90" s="111"/>
      <c r="L90" s="152" t="s">
        <v>454</v>
      </c>
      <c r="M90" s="152" t="s">
        <v>455</v>
      </c>
      <c r="N90" s="152" t="s">
        <v>429</v>
      </c>
      <c r="O90" s="111"/>
      <c r="P90" s="118" t="s">
        <v>456</v>
      </c>
      <c r="Q90" s="111"/>
      <c r="R90" s="111"/>
      <c r="S90" s="111"/>
      <c r="T90" s="112"/>
      <c r="U90" s="112"/>
      <c r="V90" s="112"/>
      <c r="W90" s="112"/>
      <c r="X90" s="112"/>
      <c r="Y90" s="161"/>
    </row>
    <row r="91">
      <c r="A91" s="154">
        <v>24.0</v>
      </c>
      <c r="B91" s="150"/>
      <c r="C91" s="150"/>
      <c r="D91" s="114" t="s">
        <v>457</v>
      </c>
      <c r="E91" s="117" t="s">
        <v>457</v>
      </c>
      <c r="F91" s="169" t="s">
        <v>458</v>
      </c>
      <c r="G91" s="169" t="s">
        <v>459</v>
      </c>
      <c r="H91" s="117" t="s">
        <v>460</v>
      </c>
      <c r="I91" s="175" t="s">
        <v>461</v>
      </c>
      <c r="J91" s="157" t="s">
        <v>55</v>
      </c>
      <c r="K91" s="150"/>
      <c r="L91" s="176" t="s">
        <v>462</v>
      </c>
      <c r="M91" s="176" t="s">
        <v>462</v>
      </c>
      <c r="N91" s="176">
        <v>1.0</v>
      </c>
      <c r="O91" s="150"/>
      <c r="P91" s="118" t="s">
        <v>463</v>
      </c>
      <c r="Q91" s="150"/>
      <c r="R91" s="150"/>
      <c r="S91" s="150"/>
      <c r="T91" s="112"/>
      <c r="U91" s="112"/>
      <c r="V91" s="112"/>
      <c r="W91" s="112"/>
      <c r="X91" s="112"/>
      <c r="Y91" s="161"/>
    </row>
    <row r="92">
      <c r="A92" s="24"/>
      <c r="B92" s="24"/>
      <c r="C92" s="24"/>
      <c r="D92" s="24"/>
      <c r="E92" s="24"/>
      <c r="F92" s="24"/>
      <c r="G92" s="24"/>
      <c r="H92" s="24"/>
      <c r="I92" s="118" t="s">
        <v>464</v>
      </c>
      <c r="J92" s="24"/>
      <c r="K92" s="24"/>
      <c r="L92" s="152" t="s">
        <v>465</v>
      </c>
      <c r="M92" s="152" t="s">
        <v>465</v>
      </c>
      <c r="N92" s="152">
        <v>2.0</v>
      </c>
      <c r="O92" s="24"/>
      <c r="P92" s="118" t="s">
        <v>466</v>
      </c>
      <c r="Q92" s="24"/>
      <c r="R92" s="24"/>
      <c r="S92" s="24"/>
    </row>
    <row r="93">
      <c r="A93" s="24"/>
      <c r="B93" s="24"/>
      <c r="C93" s="24"/>
      <c r="D93" s="24"/>
      <c r="E93" s="24"/>
      <c r="F93" s="24"/>
      <c r="G93" s="24"/>
      <c r="H93" s="24"/>
      <c r="I93" s="118" t="s">
        <v>467</v>
      </c>
      <c r="J93" s="24"/>
      <c r="K93" s="24"/>
      <c r="L93" s="152" t="s">
        <v>465</v>
      </c>
      <c r="M93" s="152" t="s">
        <v>465</v>
      </c>
      <c r="N93" s="152">
        <v>1.0</v>
      </c>
      <c r="O93" s="24"/>
      <c r="P93" s="118" t="s">
        <v>468</v>
      </c>
      <c r="Q93" s="24"/>
      <c r="R93" s="24"/>
      <c r="S93" s="24"/>
    </row>
    <row r="94">
      <c r="A94" s="24"/>
      <c r="B94" s="24"/>
      <c r="C94" s="24"/>
      <c r="D94" s="24"/>
      <c r="E94" s="24"/>
      <c r="F94" s="24"/>
      <c r="G94" s="24"/>
      <c r="H94" s="26"/>
      <c r="I94" s="118" t="s">
        <v>469</v>
      </c>
      <c r="J94" s="24"/>
      <c r="K94" s="24"/>
      <c r="L94" s="176" t="s">
        <v>470</v>
      </c>
      <c r="M94" s="176" t="s">
        <v>470</v>
      </c>
      <c r="N94" s="176">
        <v>1.0</v>
      </c>
      <c r="O94" s="24"/>
      <c r="P94" s="118" t="s">
        <v>463</v>
      </c>
      <c r="Q94" s="24"/>
      <c r="R94" s="24"/>
      <c r="S94" s="24"/>
    </row>
    <row r="95">
      <c r="A95" s="24"/>
      <c r="B95" s="24"/>
      <c r="C95" s="24"/>
      <c r="D95" s="24"/>
      <c r="E95" s="24"/>
      <c r="F95" s="24"/>
      <c r="G95" s="24"/>
      <c r="H95" s="117" t="s">
        <v>471</v>
      </c>
      <c r="I95" s="118" t="s">
        <v>472</v>
      </c>
      <c r="J95" s="24"/>
      <c r="K95" s="24"/>
      <c r="L95" s="152" t="s">
        <v>189</v>
      </c>
      <c r="M95" s="152" t="s">
        <v>198</v>
      </c>
      <c r="N95" s="152" t="s">
        <v>57</v>
      </c>
      <c r="O95" s="24"/>
      <c r="P95" s="118" t="s">
        <v>199</v>
      </c>
      <c r="Q95" s="24"/>
      <c r="R95" s="24"/>
      <c r="S95" s="24"/>
    </row>
    <row r="96">
      <c r="A96" s="24"/>
      <c r="B96" s="24"/>
      <c r="C96" s="24"/>
      <c r="D96" s="24"/>
      <c r="E96" s="24"/>
      <c r="F96" s="24"/>
      <c r="G96" s="24"/>
      <c r="H96" s="24"/>
      <c r="I96" s="118" t="s">
        <v>473</v>
      </c>
      <c r="J96" s="24"/>
      <c r="K96" s="24"/>
      <c r="L96" s="119">
        <v>46023.0</v>
      </c>
      <c r="M96" s="119">
        <v>46023.0</v>
      </c>
      <c r="N96" s="152" t="s">
        <v>201</v>
      </c>
      <c r="O96" s="24"/>
      <c r="P96" s="118" t="s">
        <v>202</v>
      </c>
      <c r="Q96" s="24"/>
      <c r="R96" s="24"/>
      <c r="S96" s="24"/>
    </row>
    <row r="97">
      <c r="A97" s="24"/>
      <c r="B97" s="24"/>
      <c r="C97" s="24"/>
      <c r="D97" s="24"/>
      <c r="E97" s="24"/>
      <c r="F97" s="24"/>
      <c r="G97" s="24"/>
      <c r="H97" s="24"/>
      <c r="I97" s="118" t="s">
        <v>474</v>
      </c>
      <c r="J97" s="24"/>
      <c r="K97" s="24"/>
      <c r="L97" s="152" t="s">
        <v>198</v>
      </c>
      <c r="M97" s="152" t="s">
        <v>204</v>
      </c>
      <c r="N97" s="152" t="s">
        <v>186</v>
      </c>
      <c r="O97" s="24"/>
      <c r="P97" s="118" t="s">
        <v>205</v>
      </c>
      <c r="Q97" s="24"/>
      <c r="R97" s="24"/>
      <c r="S97" s="24"/>
    </row>
    <row r="98">
      <c r="A98" s="24"/>
      <c r="B98" s="24"/>
      <c r="C98" s="24"/>
      <c r="D98" s="24"/>
      <c r="E98" s="24"/>
      <c r="F98" s="24"/>
      <c r="G98" s="24"/>
      <c r="H98" s="26"/>
      <c r="I98" s="118" t="s">
        <v>206</v>
      </c>
      <c r="J98" s="24"/>
      <c r="K98" s="24"/>
      <c r="L98" s="125">
        <v>46113.0</v>
      </c>
      <c r="M98" s="152" t="s">
        <v>207</v>
      </c>
      <c r="N98" s="152" t="s">
        <v>208</v>
      </c>
      <c r="O98" s="24"/>
      <c r="P98" s="118" t="s">
        <v>209</v>
      </c>
      <c r="Q98" s="24"/>
      <c r="R98" s="24"/>
      <c r="S98" s="24"/>
    </row>
    <row r="99">
      <c r="A99" s="24"/>
      <c r="B99" s="24"/>
      <c r="C99" s="24"/>
      <c r="D99" s="24"/>
      <c r="E99" s="24"/>
      <c r="F99" s="24"/>
      <c r="G99" s="24"/>
      <c r="H99" s="117" t="s">
        <v>475</v>
      </c>
      <c r="I99" s="118" t="s">
        <v>476</v>
      </c>
      <c r="J99" s="24"/>
      <c r="K99" s="24"/>
      <c r="L99" s="176" t="s">
        <v>477</v>
      </c>
      <c r="M99" s="176" t="s">
        <v>477</v>
      </c>
      <c r="N99" s="176">
        <v>1.0</v>
      </c>
      <c r="O99" s="24"/>
      <c r="P99" s="118" t="s">
        <v>463</v>
      </c>
      <c r="Q99" s="24"/>
      <c r="R99" s="24"/>
      <c r="S99" s="24"/>
    </row>
    <row r="100">
      <c r="A100" s="24"/>
      <c r="B100" s="24"/>
      <c r="C100" s="24"/>
      <c r="D100" s="24"/>
      <c r="E100" s="24"/>
      <c r="F100" s="24"/>
      <c r="G100" s="24"/>
      <c r="H100" s="24"/>
      <c r="I100" s="118" t="s">
        <v>478</v>
      </c>
      <c r="J100" s="24"/>
      <c r="K100" s="24"/>
      <c r="L100" s="176" t="s">
        <v>479</v>
      </c>
      <c r="M100" s="176" t="s">
        <v>479</v>
      </c>
      <c r="N100" s="176">
        <v>1.0</v>
      </c>
      <c r="O100" s="24"/>
      <c r="P100" s="118" t="s">
        <v>463</v>
      </c>
      <c r="Q100" s="24"/>
      <c r="R100" s="24"/>
      <c r="S100" s="24"/>
    </row>
    <row r="101">
      <c r="A101" s="26"/>
      <c r="B101" s="26"/>
      <c r="C101" s="26"/>
      <c r="D101" s="26"/>
      <c r="E101" s="26"/>
      <c r="F101" s="26"/>
      <c r="G101" s="26"/>
      <c r="H101" s="26"/>
      <c r="I101" s="118" t="s">
        <v>480</v>
      </c>
      <c r="J101" s="26"/>
      <c r="K101" s="26"/>
      <c r="L101" s="176" t="s">
        <v>481</v>
      </c>
      <c r="M101" s="176" t="s">
        <v>481</v>
      </c>
      <c r="N101" s="176">
        <v>1.0</v>
      </c>
      <c r="O101" s="26"/>
      <c r="P101" s="118" t="s">
        <v>463</v>
      </c>
      <c r="Q101" s="26"/>
      <c r="R101" s="26"/>
      <c r="S101" s="26"/>
    </row>
    <row r="102">
      <c r="A102" s="111"/>
      <c r="B102" s="111"/>
      <c r="C102" s="111"/>
      <c r="D102" s="110" t="s">
        <v>482</v>
      </c>
      <c r="E102" s="110" t="s">
        <v>482</v>
      </c>
      <c r="F102" s="118" t="s">
        <v>483</v>
      </c>
      <c r="G102" s="177">
        <v>1.0</v>
      </c>
      <c r="H102" s="104" t="s">
        <v>484</v>
      </c>
      <c r="I102" s="175" t="s">
        <v>485</v>
      </c>
      <c r="J102" s="111"/>
      <c r="K102" s="111"/>
      <c r="L102" s="152" t="s">
        <v>486</v>
      </c>
      <c r="M102" s="152" t="s">
        <v>487</v>
      </c>
      <c r="N102" s="178" t="s">
        <v>488</v>
      </c>
      <c r="O102" s="111"/>
      <c r="P102" s="111"/>
      <c r="Q102" s="111"/>
      <c r="R102" s="111"/>
      <c r="S102" s="111"/>
      <c r="T102" s="112"/>
      <c r="U102" s="112"/>
      <c r="V102" s="112"/>
      <c r="W102" s="112"/>
      <c r="X102" s="112"/>
      <c r="Y102" s="161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</row>
    <row r="100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</row>
    <row r="1002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</row>
    <row r="1003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</row>
    <row r="1004">
      <c r="A1004" s="73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</row>
    <row r="1005">
      <c r="A1005" s="73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</row>
    <row r="1006">
      <c r="A1006" s="73"/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</row>
    <row r="1007">
      <c r="A1007" s="73"/>
      <c r="B1007" s="73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</row>
    <row r="1008">
      <c r="A1008" s="73"/>
      <c r="B1008" s="73"/>
      <c r="C1008" s="73"/>
      <c r="D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</row>
    <row r="1009">
      <c r="A1009" s="73"/>
      <c r="B1009" s="73"/>
      <c r="C1009" s="73"/>
      <c r="D1009" s="73"/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</row>
    <row r="1010">
      <c r="A1010" s="73"/>
      <c r="B1010" s="73"/>
      <c r="C1010" s="73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</row>
    <row r="1011">
      <c r="A1011" s="73"/>
      <c r="B1011" s="73"/>
      <c r="C1011" s="73"/>
      <c r="D1011" s="73"/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</row>
    <row r="1012">
      <c r="A1012" s="73"/>
      <c r="B1012" s="73"/>
      <c r="C1012" s="73"/>
      <c r="D1012" s="73"/>
      <c r="E1012" s="73"/>
      <c r="F1012" s="73"/>
      <c r="G1012" s="73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</row>
    <row r="1013">
      <c r="A1013" s="73"/>
      <c r="B1013" s="73"/>
      <c r="C1013" s="73"/>
      <c r="D1013" s="73"/>
      <c r="E1013" s="73"/>
      <c r="F1013" s="73"/>
      <c r="G1013" s="73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3"/>
      <c r="X1013" s="73"/>
      <c r="Y1013" s="73"/>
    </row>
    <row r="1014">
      <c r="A1014" s="73"/>
      <c r="B1014" s="73"/>
      <c r="C1014" s="73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73"/>
      <c r="V1014" s="73"/>
      <c r="W1014" s="73"/>
      <c r="X1014" s="73"/>
      <c r="Y1014" s="73"/>
    </row>
    <row r="1015">
      <c r="A1015" s="73"/>
      <c r="B1015" s="73"/>
      <c r="C1015" s="73"/>
      <c r="D1015" s="73"/>
      <c r="E1015" s="73"/>
      <c r="F1015" s="73"/>
      <c r="G1015" s="73"/>
      <c r="H1015" s="73"/>
      <c r="I1015" s="73"/>
      <c r="J1015" s="73"/>
      <c r="K1015" s="73"/>
      <c r="L1015" s="73"/>
      <c r="M1015" s="73"/>
      <c r="N1015" s="73"/>
      <c r="O1015" s="73"/>
      <c r="P1015" s="73"/>
      <c r="Q1015" s="73"/>
      <c r="R1015" s="73"/>
      <c r="S1015" s="73"/>
      <c r="T1015" s="73"/>
      <c r="U1015" s="73"/>
      <c r="V1015" s="73"/>
      <c r="W1015" s="73"/>
      <c r="X1015" s="73"/>
      <c r="Y1015" s="73"/>
    </row>
    <row r="1016">
      <c r="A1016" s="73"/>
      <c r="B1016" s="73"/>
      <c r="C1016" s="73"/>
      <c r="D1016" s="73"/>
      <c r="E1016" s="73"/>
      <c r="F1016" s="73"/>
      <c r="G1016" s="73"/>
      <c r="H1016" s="73"/>
      <c r="I1016" s="73"/>
      <c r="J1016" s="73"/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73"/>
      <c r="V1016" s="73"/>
      <c r="W1016" s="73"/>
      <c r="X1016" s="73"/>
      <c r="Y1016" s="73"/>
    </row>
    <row r="1017">
      <c r="A1017" s="73"/>
      <c r="B1017" s="73"/>
      <c r="C1017" s="73"/>
      <c r="D1017" s="73"/>
      <c r="E1017" s="73"/>
      <c r="F1017" s="73"/>
      <c r="G1017" s="73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73"/>
      <c r="V1017" s="73"/>
      <c r="W1017" s="73"/>
      <c r="X1017" s="73"/>
      <c r="Y1017" s="73"/>
    </row>
    <row r="1018">
      <c r="A1018" s="73"/>
      <c r="B1018" s="73"/>
      <c r="C1018" s="73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73"/>
      <c r="V1018" s="73"/>
      <c r="W1018" s="73"/>
      <c r="X1018" s="73"/>
      <c r="Y1018" s="73"/>
    </row>
    <row r="1019">
      <c r="A1019" s="73"/>
      <c r="B1019" s="73"/>
      <c r="C1019" s="73"/>
      <c r="D1019" s="73"/>
      <c r="E1019" s="73"/>
      <c r="F1019" s="73"/>
      <c r="G1019" s="73"/>
      <c r="H1019" s="73"/>
      <c r="I1019" s="73"/>
      <c r="J1019" s="73"/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73"/>
      <c r="V1019" s="73"/>
      <c r="W1019" s="73"/>
      <c r="X1019" s="73"/>
      <c r="Y1019" s="73"/>
    </row>
    <row r="1020">
      <c r="A1020" s="73"/>
      <c r="B1020" s="73"/>
      <c r="C1020" s="73"/>
      <c r="D1020" s="73"/>
      <c r="E1020" s="73"/>
      <c r="F1020" s="73"/>
      <c r="G1020" s="73"/>
      <c r="H1020" s="73"/>
      <c r="I1020" s="73"/>
      <c r="J1020" s="73"/>
      <c r="K1020" s="73"/>
      <c r="L1020" s="73"/>
      <c r="M1020" s="73"/>
      <c r="N1020" s="73"/>
      <c r="O1020" s="73"/>
      <c r="P1020" s="73"/>
      <c r="Q1020" s="73"/>
      <c r="R1020" s="73"/>
      <c r="S1020" s="73"/>
      <c r="T1020" s="73"/>
      <c r="U1020" s="73"/>
      <c r="V1020" s="73"/>
      <c r="W1020" s="73"/>
      <c r="X1020" s="73"/>
      <c r="Y1020" s="73"/>
    </row>
    <row r="1021">
      <c r="A1021" s="73"/>
      <c r="B1021" s="73"/>
      <c r="C1021" s="73"/>
      <c r="D1021" s="73"/>
      <c r="E1021" s="73"/>
      <c r="F1021" s="73"/>
      <c r="G1021" s="73"/>
      <c r="H1021" s="73"/>
      <c r="I1021" s="73"/>
      <c r="J1021" s="73"/>
      <c r="K1021" s="73"/>
      <c r="L1021" s="73"/>
      <c r="M1021" s="73"/>
      <c r="N1021" s="73"/>
      <c r="O1021" s="73"/>
      <c r="P1021" s="73"/>
      <c r="Q1021" s="73"/>
      <c r="R1021" s="73"/>
      <c r="S1021" s="73"/>
      <c r="T1021" s="73"/>
      <c r="U1021" s="73"/>
      <c r="V1021" s="73"/>
      <c r="W1021" s="73"/>
      <c r="X1021" s="73"/>
      <c r="Y1021" s="73"/>
    </row>
    <row r="1022">
      <c r="A1022" s="73"/>
      <c r="B1022" s="73"/>
      <c r="C1022" s="73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  <c r="S1022" s="73"/>
      <c r="T1022" s="73"/>
      <c r="U1022" s="73"/>
      <c r="V1022" s="73"/>
      <c r="W1022" s="73"/>
      <c r="X1022" s="73"/>
      <c r="Y1022" s="73"/>
    </row>
    <row r="1023">
      <c r="A1023" s="73"/>
      <c r="B1023" s="73"/>
      <c r="C1023" s="73"/>
      <c r="D1023" s="73"/>
      <c r="E1023" s="73"/>
      <c r="F1023" s="73"/>
      <c r="G1023" s="73"/>
      <c r="H1023" s="73"/>
      <c r="I1023" s="73"/>
      <c r="J1023" s="73"/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73"/>
      <c r="V1023" s="73"/>
      <c r="W1023" s="73"/>
      <c r="X1023" s="73"/>
      <c r="Y1023" s="73"/>
    </row>
    <row r="1024">
      <c r="A1024" s="73"/>
      <c r="B1024" s="73"/>
      <c r="C1024" s="73"/>
      <c r="D1024" s="73"/>
      <c r="E1024" s="73"/>
      <c r="F1024" s="73"/>
      <c r="G1024" s="73"/>
      <c r="H1024" s="73"/>
      <c r="I1024" s="73"/>
      <c r="J1024" s="73"/>
      <c r="K1024" s="73"/>
      <c r="L1024" s="73"/>
      <c r="M1024" s="73"/>
      <c r="N1024" s="73"/>
      <c r="O1024" s="73"/>
      <c r="P1024" s="73"/>
      <c r="Q1024" s="73"/>
      <c r="R1024" s="73"/>
      <c r="S1024" s="73"/>
      <c r="T1024" s="73"/>
      <c r="U1024" s="73"/>
      <c r="V1024" s="73"/>
      <c r="W1024" s="73"/>
      <c r="X1024" s="73"/>
      <c r="Y1024" s="73"/>
    </row>
    <row r="1025">
      <c r="A1025" s="73"/>
      <c r="B1025" s="73"/>
      <c r="C1025" s="73"/>
      <c r="D1025" s="73"/>
      <c r="E1025" s="73"/>
      <c r="F1025" s="73"/>
      <c r="G1025" s="73"/>
      <c r="H1025" s="73"/>
      <c r="I1025" s="73"/>
      <c r="J1025" s="73"/>
      <c r="K1025" s="73"/>
      <c r="L1025" s="73"/>
      <c r="M1025" s="73"/>
      <c r="N1025" s="73"/>
      <c r="O1025" s="73"/>
      <c r="P1025" s="73"/>
      <c r="Q1025" s="73"/>
      <c r="R1025" s="73"/>
      <c r="S1025" s="73"/>
      <c r="T1025" s="73"/>
      <c r="U1025" s="73"/>
      <c r="V1025" s="73"/>
      <c r="W1025" s="73"/>
      <c r="X1025" s="73"/>
      <c r="Y1025" s="73"/>
    </row>
    <row r="1026">
      <c r="A1026" s="73"/>
      <c r="B1026" s="73"/>
      <c r="C1026" s="73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  <c r="S1026" s="73"/>
      <c r="T1026" s="73"/>
      <c r="U1026" s="73"/>
      <c r="V1026" s="73"/>
      <c r="W1026" s="73"/>
      <c r="X1026" s="73"/>
      <c r="Y1026" s="73"/>
    </row>
    <row r="1027">
      <c r="A1027" s="73"/>
      <c r="B1027" s="73"/>
      <c r="C1027" s="73"/>
      <c r="D1027" s="73"/>
      <c r="E1027" s="73"/>
      <c r="F1027" s="73"/>
      <c r="G1027" s="73"/>
      <c r="H1027" s="73"/>
      <c r="I1027" s="73"/>
      <c r="J1027" s="73"/>
      <c r="K1027" s="73"/>
      <c r="L1027" s="73"/>
      <c r="M1027" s="73"/>
      <c r="N1027" s="73"/>
      <c r="O1027" s="73"/>
      <c r="P1027" s="73"/>
      <c r="Q1027" s="73"/>
      <c r="R1027" s="73"/>
      <c r="S1027" s="73"/>
      <c r="T1027" s="73"/>
      <c r="U1027" s="73"/>
      <c r="V1027" s="73"/>
      <c r="W1027" s="73"/>
      <c r="X1027" s="73"/>
      <c r="Y1027" s="73"/>
    </row>
    <row r="1028">
      <c r="A1028" s="73"/>
      <c r="B1028" s="73"/>
      <c r="C1028" s="73"/>
      <c r="D1028" s="73"/>
      <c r="E1028" s="73"/>
      <c r="F1028" s="73"/>
      <c r="G1028" s="73"/>
      <c r="H1028" s="73"/>
      <c r="I1028" s="73"/>
      <c r="J1028" s="73"/>
      <c r="K1028" s="73"/>
      <c r="L1028" s="73"/>
      <c r="M1028" s="73"/>
      <c r="N1028" s="73"/>
      <c r="O1028" s="73"/>
      <c r="P1028" s="73"/>
      <c r="Q1028" s="73"/>
      <c r="R1028" s="73"/>
      <c r="S1028" s="73"/>
      <c r="T1028" s="73"/>
      <c r="U1028" s="73"/>
      <c r="V1028" s="73"/>
      <c r="W1028" s="73"/>
      <c r="X1028" s="73"/>
      <c r="Y1028" s="73"/>
    </row>
    <row r="1029">
      <c r="A1029" s="73"/>
      <c r="B1029" s="73"/>
      <c r="C1029" s="73"/>
      <c r="D1029" s="73"/>
      <c r="E1029" s="73"/>
      <c r="F1029" s="73"/>
      <c r="G1029" s="73"/>
      <c r="H1029" s="73"/>
      <c r="I1029" s="73"/>
      <c r="J1029" s="73"/>
      <c r="K1029" s="73"/>
      <c r="L1029" s="73"/>
      <c r="M1029" s="73"/>
      <c r="N1029" s="73"/>
      <c r="O1029" s="73"/>
      <c r="P1029" s="73"/>
      <c r="Q1029" s="73"/>
      <c r="R1029" s="73"/>
      <c r="S1029" s="73"/>
      <c r="T1029" s="73"/>
      <c r="U1029" s="73"/>
      <c r="V1029" s="73"/>
      <c r="W1029" s="73"/>
      <c r="X1029" s="73"/>
      <c r="Y1029" s="73"/>
    </row>
    <row r="1030">
      <c r="A1030" s="73"/>
      <c r="B1030" s="73"/>
      <c r="C1030" s="73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  <c r="S1030" s="73"/>
      <c r="T1030" s="73"/>
      <c r="U1030" s="73"/>
      <c r="V1030" s="73"/>
      <c r="W1030" s="73"/>
      <c r="X1030" s="73"/>
      <c r="Y1030" s="73"/>
    </row>
    <row r="1031">
      <c r="A1031" s="73"/>
      <c r="B1031" s="73"/>
      <c r="C1031" s="73"/>
      <c r="D1031" s="73"/>
      <c r="E1031" s="73"/>
      <c r="F1031" s="73"/>
      <c r="G1031" s="73"/>
      <c r="H1031" s="73"/>
      <c r="I1031" s="73"/>
      <c r="J1031" s="73"/>
      <c r="K1031" s="73"/>
      <c r="L1031" s="73"/>
      <c r="M1031" s="73"/>
      <c r="N1031" s="73"/>
      <c r="O1031" s="73"/>
      <c r="P1031" s="73"/>
      <c r="Q1031" s="73"/>
      <c r="R1031" s="73"/>
      <c r="S1031" s="73"/>
      <c r="T1031" s="73"/>
      <c r="U1031" s="73"/>
      <c r="V1031" s="73"/>
      <c r="W1031" s="73"/>
      <c r="X1031" s="73"/>
      <c r="Y1031" s="73"/>
    </row>
    <row r="1032">
      <c r="A1032" s="73"/>
      <c r="B1032" s="73"/>
      <c r="C1032" s="73"/>
      <c r="D1032" s="73"/>
      <c r="E1032" s="73"/>
      <c r="F1032" s="73"/>
      <c r="G1032" s="73"/>
      <c r="H1032" s="73"/>
      <c r="I1032" s="73"/>
      <c r="J1032" s="73"/>
      <c r="K1032" s="73"/>
      <c r="L1032" s="73"/>
      <c r="M1032" s="73"/>
      <c r="N1032" s="73"/>
      <c r="O1032" s="73"/>
      <c r="P1032" s="73"/>
      <c r="Q1032" s="73"/>
      <c r="R1032" s="73"/>
      <c r="S1032" s="73"/>
      <c r="T1032" s="73"/>
      <c r="U1032" s="73"/>
      <c r="V1032" s="73"/>
      <c r="W1032" s="73"/>
      <c r="X1032" s="73"/>
      <c r="Y1032" s="73"/>
    </row>
    <row r="1033">
      <c r="A1033" s="73"/>
      <c r="B1033" s="73"/>
      <c r="C1033" s="73"/>
      <c r="D1033" s="73"/>
      <c r="E1033" s="73"/>
      <c r="F1033" s="73"/>
      <c r="G1033" s="73"/>
      <c r="H1033" s="73"/>
      <c r="I1033" s="73"/>
      <c r="J1033" s="73"/>
      <c r="K1033" s="73"/>
      <c r="L1033" s="73"/>
      <c r="M1033" s="73"/>
      <c r="N1033" s="73"/>
      <c r="O1033" s="73"/>
      <c r="P1033" s="73"/>
      <c r="Q1033" s="73"/>
      <c r="R1033" s="73"/>
      <c r="S1033" s="73"/>
      <c r="T1033" s="73"/>
      <c r="U1033" s="73"/>
      <c r="V1033" s="73"/>
      <c r="W1033" s="73"/>
      <c r="X1033" s="73"/>
      <c r="Y1033" s="73"/>
    </row>
    <row r="1034">
      <c r="A1034" s="73"/>
      <c r="B1034" s="73"/>
      <c r="C1034" s="73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  <c r="S1034" s="73"/>
      <c r="T1034" s="73"/>
      <c r="U1034" s="73"/>
      <c r="V1034" s="73"/>
      <c r="W1034" s="73"/>
      <c r="X1034" s="73"/>
      <c r="Y1034" s="73"/>
    </row>
    <row r="1035">
      <c r="A1035" s="73"/>
      <c r="B1035" s="73"/>
      <c r="C1035" s="73"/>
      <c r="D1035" s="73"/>
      <c r="E1035" s="73"/>
      <c r="F1035" s="73"/>
      <c r="G1035" s="73"/>
      <c r="H1035" s="73"/>
      <c r="I1035" s="73"/>
      <c r="J1035" s="73"/>
      <c r="K1035" s="73"/>
      <c r="L1035" s="73"/>
      <c r="M1035" s="73"/>
      <c r="N1035" s="73"/>
      <c r="O1035" s="73"/>
      <c r="P1035" s="73"/>
      <c r="Q1035" s="73"/>
      <c r="R1035" s="73"/>
      <c r="S1035" s="73"/>
      <c r="T1035" s="73"/>
      <c r="U1035" s="73"/>
      <c r="V1035" s="73"/>
      <c r="W1035" s="73"/>
      <c r="X1035" s="73"/>
      <c r="Y1035" s="73"/>
    </row>
    <row r="1036">
      <c r="A1036" s="73"/>
      <c r="B1036" s="73"/>
      <c r="C1036" s="73"/>
      <c r="D1036" s="73"/>
      <c r="E1036" s="73"/>
      <c r="F1036" s="73"/>
      <c r="G1036" s="73"/>
      <c r="H1036" s="73"/>
      <c r="I1036" s="73"/>
      <c r="J1036" s="73"/>
      <c r="K1036" s="73"/>
      <c r="L1036" s="73"/>
      <c r="M1036" s="73"/>
      <c r="N1036" s="73"/>
      <c r="O1036" s="73"/>
      <c r="P1036" s="73"/>
      <c r="Q1036" s="73"/>
      <c r="R1036" s="73"/>
      <c r="S1036" s="73"/>
      <c r="T1036" s="73"/>
      <c r="U1036" s="73"/>
      <c r="V1036" s="73"/>
      <c r="W1036" s="73"/>
      <c r="X1036" s="73"/>
      <c r="Y1036" s="73"/>
    </row>
    <row r="1037">
      <c r="A1037" s="73"/>
      <c r="B1037" s="73"/>
      <c r="C1037" s="73"/>
      <c r="D1037" s="73"/>
      <c r="E1037" s="73"/>
      <c r="F1037" s="73"/>
      <c r="G1037" s="73"/>
      <c r="H1037" s="73"/>
      <c r="I1037" s="73"/>
      <c r="J1037" s="73"/>
      <c r="K1037" s="73"/>
      <c r="L1037" s="73"/>
      <c r="M1037" s="73"/>
      <c r="N1037" s="73"/>
      <c r="O1037" s="73"/>
      <c r="P1037" s="73"/>
      <c r="Q1037" s="73"/>
      <c r="R1037" s="73"/>
      <c r="S1037" s="73"/>
      <c r="T1037" s="73"/>
      <c r="U1037" s="73"/>
      <c r="V1037" s="73"/>
      <c r="W1037" s="73"/>
      <c r="X1037" s="73"/>
      <c r="Y1037" s="73"/>
    </row>
    <row r="1038">
      <c r="A1038" s="73"/>
      <c r="B1038" s="73"/>
      <c r="C1038" s="73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  <c r="S1038" s="73"/>
      <c r="T1038" s="73"/>
      <c r="U1038" s="73"/>
      <c r="V1038" s="73"/>
      <c r="W1038" s="73"/>
      <c r="X1038" s="73"/>
      <c r="Y1038" s="73"/>
    </row>
    <row r="1039">
      <c r="A1039" s="73"/>
      <c r="B1039" s="73"/>
      <c r="C1039" s="73"/>
      <c r="D1039" s="73"/>
      <c r="E1039" s="73"/>
      <c r="F1039" s="73"/>
      <c r="G1039" s="73"/>
      <c r="H1039" s="73"/>
      <c r="I1039" s="73"/>
      <c r="J1039" s="73"/>
      <c r="K1039" s="73"/>
      <c r="L1039" s="73"/>
      <c r="M1039" s="73"/>
      <c r="N1039" s="73"/>
      <c r="O1039" s="73"/>
      <c r="P1039" s="73"/>
      <c r="Q1039" s="73"/>
      <c r="R1039" s="73"/>
      <c r="S1039" s="73"/>
      <c r="T1039" s="73"/>
      <c r="U1039" s="73"/>
      <c r="V1039" s="73"/>
      <c r="W1039" s="73"/>
      <c r="X1039" s="73"/>
      <c r="Y1039" s="73"/>
    </row>
    <row r="1040">
      <c r="A1040" s="73"/>
      <c r="B1040" s="73"/>
      <c r="C1040" s="73"/>
      <c r="D1040" s="73"/>
      <c r="E1040" s="73"/>
      <c r="F1040" s="73"/>
      <c r="G1040" s="73"/>
      <c r="H1040" s="73"/>
      <c r="I1040" s="73"/>
      <c r="J1040" s="73"/>
      <c r="K1040" s="73"/>
      <c r="L1040" s="73"/>
      <c r="M1040" s="73"/>
      <c r="N1040" s="73"/>
      <c r="O1040" s="73"/>
      <c r="P1040" s="73"/>
      <c r="Q1040" s="73"/>
      <c r="R1040" s="73"/>
      <c r="S1040" s="73"/>
      <c r="T1040" s="73"/>
      <c r="U1040" s="73"/>
      <c r="V1040" s="73"/>
      <c r="W1040" s="73"/>
      <c r="X1040" s="73"/>
      <c r="Y1040" s="73"/>
    </row>
    <row r="1041">
      <c r="A1041" s="73"/>
      <c r="B1041" s="73"/>
      <c r="C1041" s="73"/>
      <c r="D1041" s="73"/>
      <c r="E1041" s="73"/>
      <c r="F1041" s="73"/>
      <c r="G1041" s="73"/>
      <c r="H1041" s="73"/>
      <c r="I1041" s="73"/>
      <c r="J1041" s="73"/>
      <c r="K1041" s="73"/>
      <c r="L1041" s="73"/>
      <c r="M1041" s="73"/>
      <c r="N1041" s="73"/>
      <c r="O1041" s="73"/>
      <c r="P1041" s="73"/>
      <c r="Q1041" s="73"/>
      <c r="R1041" s="73"/>
      <c r="S1041" s="73"/>
      <c r="T1041" s="73"/>
      <c r="U1041" s="73"/>
      <c r="V1041" s="73"/>
      <c r="W1041" s="73"/>
      <c r="X1041" s="73"/>
      <c r="Y1041" s="73"/>
    </row>
    <row r="1042">
      <c r="A1042" s="73"/>
      <c r="B1042" s="73"/>
      <c r="C1042" s="73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  <c r="S1042" s="73"/>
      <c r="T1042" s="73"/>
      <c r="U1042" s="73"/>
      <c r="V1042" s="73"/>
      <c r="W1042" s="73"/>
      <c r="X1042" s="73"/>
      <c r="Y1042" s="73"/>
    </row>
    <row r="1043">
      <c r="A1043" s="73"/>
      <c r="B1043" s="73"/>
      <c r="C1043" s="73"/>
      <c r="D1043" s="73"/>
      <c r="E1043" s="73"/>
      <c r="F1043" s="73"/>
      <c r="G1043" s="73"/>
      <c r="H1043" s="73"/>
      <c r="I1043" s="73"/>
      <c r="J1043" s="73"/>
      <c r="K1043" s="73"/>
      <c r="L1043" s="73"/>
      <c r="M1043" s="73"/>
      <c r="N1043" s="73"/>
      <c r="O1043" s="73"/>
      <c r="P1043" s="73"/>
      <c r="Q1043" s="73"/>
      <c r="R1043" s="73"/>
      <c r="S1043" s="73"/>
      <c r="T1043" s="73"/>
      <c r="U1043" s="73"/>
      <c r="V1043" s="73"/>
      <c r="W1043" s="73"/>
      <c r="X1043" s="73"/>
      <c r="Y1043" s="73"/>
    </row>
    <row r="1044">
      <c r="A1044" s="73"/>
      <c r="B1044" s="73"/>
      <c r="C1044" s="73"/>
      <c r="D1044" s="73"/>
      <c r="E1044" s="73"/>
      <c r="F1044" s="73"/>
      <c r="G1044" s="73"/>
      <c r="H1044" s="73"/>
      <c r="I1044" s="73"/>
      <c r="J1044" s="73"/>
      <c r="K1044" s="73"/>
      <c r="L1044" s="73"/>
      <c r="M1044" s="73"/>
      <c r="N1044" s="73"/>
      <c r="O1044" s="73"/>
      <c r="P1044" s="73"/>
      <c r="Q1044" s="73"/>
      <c r="R1044" s="73"/>
      <c r="S1044" s="73"/>
      <c r="T1044" s="73"/>
      <c r="U1044" s="73"/>
      <c r="V1044" s="73"/>
      <c r="W1044" s="73"/>
      <c r="X1044" s="73"/>
      <c r="Y1044" s="73"/>
    </row>
    <row r="1045">
      <c r="A1045" s="73"/>
      <c r="B1045" s="73"/>
      <c r="C1045" s="73"/>
      <c r="D1045" s="73"/>
      <c r="E1045" s="73"/>
      <c r="F1045" s="73"/>
      <c r="G1045" s="73"/>
      <c r="H1045" s="73"/>
      <c r="I1045" s="73"/>
      <c r="J1045" s="73"/>
      <c r="K1045" s="73"/>
      <c r="L1045" s="73"/>
      <c r="M1045" s="73"/>
      <c r="N1045" s="73"/>
      <c r="O1045" s="73"/>
      <c r="P1045" s="73"/>
      <c r="Q1045" s="73"/>
      <c r="R1045" s="73"/>
      <c r="S1045" s="73"/>
      <c r="T1045" s="73"/>
      <c r="U1045" s="73"/>
      <c r="V1045" s="73"/>
      <c r="W1045" s="73"/>
      <c r="X1045" s="73"/>
      <c r="Y1045" s="73"/>
    </row>
    <row r="1046">
      <c r="A1046" s="73"/>
      <c r="B1046" s="73"/>
      <c r="C1046" s="73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  <c r="S1046" s="73"/>
      <c r="T1046" s="73"/>
      <c r="U1046" s="73"/>
      <c r="V1046" s="73"/>
      <c r="W1046" s="73"/>
      <c r="X1046" s="73"/>
      <c r="Y1046" s="73"/>
    </row>
    <row r="1047">
      <c r="A1047" s="73"/>
      <c r="B1047" s="73"/>
      <c r="C1047" s="73"/>
      <c r="D1047" s="73"/>
      <c r="E1047" s="73"/>
      <c r="F1047" s="73"/>
      <c r="G1047" s="73"/>
      <c r="H1047" s="73"/>
      <c r="I1047" s="73"/>
      <c r="J1047" s="73"/>
      <c r="K1047" s="73"/>
      <c r="L1047" s="73"/>
      <c r="M1047" s="73"/>
      <c r="N1047" s="73"/>
      <c r="O1047" s="73"/>
      <c r="P1047" s="73"/>
      <c r="Q1047" s="73"/>
      <c r="R1047" s="73"/>
      <c r="S1047" s="73"/>
      <c r="T1047" s="73"/>
      <c r="U1047" s="73"/>
      <c r="V1047" s="73"/>
      <c r="W1047" s="73"/>
      <c r="X1047" s="73"/>
      <c r="Y1047" s="73"/>
    </row>
    <row r="1048">
      <c r="A1048" s="73"/>
      <c r="B1048" s="73"/>
      <c r="C1048" s="73"/>
      <c r="D1048" s="73"/>
      <c r="E1048" s="73"/>
      <c r="F1048" s="73"/>
      <c r="G1048" s="73"/>
      <c r="H1048" s="73"/>
      <c r="I1048" s="73"/>
      <c r="J1048" s="73"/>
      <c r="K1048" s="73"/>
      <c r="L1048" s="73"/>
      <c r="M1048" s="73"/>
      <c r="N1048" s="73"/>
      <c r="O1048" s="73"/>
      <c r="P1048" s="73"/>
      <c r="Q1048" s="73"/>
      <c r="R1048" s="73"/>
      <c r="S1048" s="73"/>
      <c r="T1048" s="73"/>
      <c r="U1048" s="73"/>
      <c r="V1048" s="73"/>
      <c r="W1048" s="73"/>
      <c r="X1048" s="73"/>
      <c r="Y1048" s="73"/>
    </row>
    <row r="1049">
      <c r="A1049" s="73"/>
      <c r="B1049" s="73"/>
      <c r="C1049" s="73"/>
      <c r="D1049" s="73"/>
      <c r="E1049" s="73"/>
      <c r="F1049" s="73"/>
      <c r="G1049" s="73"/>
      <c r="H1049" s="73"/>
      <c r="I1049" s="73"/>
      <c r="J1049" s="73"/>
      <c r="K1049" s="73"/>
      <c r="L1049" s="73"/>
      <c r="M1049" s="73"/>
      <c r="N1049" s="73"/>
      <c r="O1049" s="73"/>
      <c r="P1049" s="73"/>
      <c r="Q1049" s="73"/>
      <c r="R1049" s="73"/>
      <c r="S1049" s="73"/>
      <c r="T1049" s="73"/>
      <c r="U1049" s="73"/>
      <c r="V1049" s="73"/>
      <c r="W1049" s="73"/>
      <c r="X1049" s="73"/>
      <c r="Y1049" s="73"/>
    </row>
    <row r="1050">
      <c r="A1050" s="73"/>
      <c r="B1050" s="73"/>
      <c r="C1050" s="73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  <c r="S1050" s="73"/>
      <c r="T1050" s="73"/>
      <c r="U1050" s="73"/>
      <c r="V1050" s="73"/>
      <c r="W1050" s="73"/>
      <c r="X1050" s="73"/>
      <c r="Y1050" s="73"/>
    </row>
    <row r="1051">
      <c r="A1051" s="73"/>
      <c r="B1051" s="73"/>
      <c r="C1051" s="73"/>
      <c r="D1051" s="73"/>
      <c r="E1051" s="73"/>
      <c r="F1051" s="73"/>
      <c r="G1051" s="73"/>
      <c r="H1051" s="73"/>
      <c r="I1051" s="73"/>
      <c r="J1051" s="73"/>
      <c r="K1051" s="73"/>
      <c r="L1051" s="73"/>
      <c r="M1051" s="73"/>
      <c r="N1051" s="73"/>
      <c r="O1051" s="73"/>
      <c r="P1051" s="73"/>
      <c r="Q1051" s="73"/>
      <c r="R1051" s="73"/>
      <c r="S1051" s="73"/>
      <c r="T1051" s="73"/>
      <c r="U1051" s="73"/>
      <c r="V1051" s="73"/>
      <c r="W1051" s="73"/>
      <c r="X1051" s="73"/>
      <c r="Y1051" s="73"/>
    </row>
    <row r="1052">
      <c r="A1052" s="73"/>
      <c r="B1052" s="73"/>
      <c r="C1052" s="73"/>
      <c r="D1052" s="73"/>
      <c r="E1052" s="73"/>
      <c r="F1052" s="73"/>
      <c r="G1052" s="73"/>
      <c r="H1052" s="73"/>
      <c r="I1052" s="73"/>
      <c r="J1052" s="73"/>
      <c r="K1052" s="73"/>
      <c r="L1052" s="73"/>
      <c r="M1052" s="73"/>
      <c r="N1052" s="73"/>
      <c r="O1052" s="73"/>
      <c r="P1052" s="73"/>
      <c r="Q1052" s="73"/>
      <c r="R1052" s="73"/>
      <c r="S1052" s="73"/>
      <c r="T1052" s="73"/>
      <c r="U1052" s="73"/>
      <c r="V1052" s="73"/>
      <c r="W1052" s="73"/>
      <c r="X1052" s="73"/>
      <c r="Y1052" s="73"/>
    </row>
    <row r="1053">
      <c r="A1053" s="73"/>
      <c r="B1053" s="73"/>
      <c r="C1053" s="73"/>
      <c r="D1053" s="73"/>
      <c r="E1053" s="73"/>
      <c r="F1053" s="73"/>
      <c r="G1053" s="73"/>
      <c r="H1053" s="73"/>
      <c r="I1053" s="73"/>
      <c r="J1053" s="73"/>
      <c r="K1053" s="73"/>
      <c r="L1053" s="73"/>
      <c r="M1053" s="73"/>
      <c r="N1053" s="73"/>
      <c r="O1053" s="73"/>
      <c r="P1053" s="73"/>
      <c r="Q1053" s="73"/>
      <c r="R1053" s="73"/>
      <c r="S1053" s="73"/>
      <c r="T1053" s="73"/>
      <c r="U1053" s="73"/>
      <c r="V1053" s="73"/>
      <c r="W1053" s="73"/>
      <c r="X1053" s="73"/>
      <c r="Y1053" s="73"/>
    </row>
    <row r="1054">
      <c r="A1054" s="73"/>
      <c r="B1054" s="73"/>
      <c r="C1054" s="73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  <c r="S1054" s="73"/>
      <c r="T1054" s="73"/>
      <c r="U1054" s="73"/>
      <c r="V1054" s="73"/>
      <c r="W1054" s="73"/>
      <c r="X1054" s="73"/>
      <c r="Y1054" s="73"/>
    </row>
    <row r="1055">
      <c r="A1055" s="73"/>
      <c r="B1055" s="73"/>
      <c r="C1055" s="73"/>
      <c r="D1055" s="73"/>
      <c r="E1055" s="73"/>
      <c r="F1055" s="73"/>
      <c r="G1055" s="73"/>
      <c r="H1055" s="73"/>
      <c r="I1055" s="73"/>
      <c r="J1055" s="73"/>
      <c r="K1055" s="73"/>
      <c r="L1055" s="73"/>
      <c r="M1055" s="73"/>
      <c r="N1055" s="73"/>
      <c r="O1055" s="73"/>
      <c r="P1055" s="73"/>
      <c r="Q1055" s="73"/>
      <c r="R1055" s="73"/>
      <c r="S1055" s="73"/>
      <c r="T1055" s="73"/>
      <c r="U1055" s="73"/>
      <c r="V1055" s="73"/>
      <c r="W1055" s="73"/>
      <c r="X1055" s="73"/>
      <c r="Y1055" s="73"/>
    </row>
    <row r="1056">
      <c r="A1056" s="73"/>
      <c r="B1056" s="73"/>
      <c r="C1056" s="73"/>
      <c r="D1056" s="73"/>
      <c r="E1056" s="73"/>
      <c r="F1056" s="73"/>
      <c r="G1056" s="73"/>
      <c r="H1056" s="73"/>
      <c r="I1056" s="73"/>
      <c r="J1056" s="73"/>
      <c r="K1056" s="73"/>
      <c r="L1056" s="73"/>
      <c r="M1056" s="73"/>
      <c r="N1056" s="73"/>
      <c r="O1056" s="73"/>
      <c r="P1056" s="73"/>
      <c r="Q1056" s="73"/>
      <c r="R1056" s="73"/>
      <c r="S1056" s="73"/>
      <c r="T1056" s="73"/>
      <c r="U1056" s="73"/>
      <c r="V1056" s="73"/>
      <c r="W1056" s="73"/>
      <c r="X1056" s="73"/>
      <c r="Y1056" s="73"/>
    </row>
    <row r="1057">
      <c r="A1057" s="73"/>
      <c r="B1057" s="73"/>
      <c r="C1057" s="73"/>
      <c r="D1057" s="73"/>
      <c r="E1057" s="73"/>
      <c r="F1057" s="73"/>
      <c r="G1057" s="73"/>
      <c r="H1057" s="73"/>
      <c r="I1057" s="73"/>
      <c r="J1057" s="73"/>
      <c r="K1057" s="73"/>
      <c r="L1057" s="73"/>
      <c r="M1057" s="73"/>
      <c r="N1057" s="73"/>
      <c r="O1057" s="73"/>
      <c r="P1057" s="73"/>
      <c r="Q1057" s="73"/>
      <c r="R1057" s="73"/>
      <c r="S1057" s="73"/>
      <c r="T1057" s="73"/>
      <c r="U1057" s="73"/>
      <c r="V1057" s="73"/>
      <c r="W1057" s="73"/>
      <c r="X1057" s="73"/>
      <c r="Y1057" s="73"/>
    </row>
    <row r="1058">
      <c r="A1058" s="73"/>
      <c r="B1058" s="73"/>
      <c r="C1058" s="73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  <c r="S1058" s="73"/>
      <c r="T1058" s="73"/>
      <c r="U1058" s="73"/>
      <c r="V1058" s="73"/>
      <c r="W1058" s="73"/>
      <c r="X1058" s="73"/>
      <c r="Y1058" s="73"/>
    </row>
    <row r="1059">
      <c r="A1059" s="73"/>
      <c r="B1059" s="73"/>
      <c r="C1059" s="73"/>
      <c r="D1059" s="73"/>
      <c r="E1059" s="73"/>
      <c r="F1059" s="73"/>
      <c r="G1059" s="73"/>
      <c r="H1059" s="73"/>
      <c r="I1059" s="73"/>
      <c r="J1059" s="73"/>
      <c r="K1059" s="73"/>
      <c r="L1059" s="73"/>
      <c r="M1059" s="73"/>
      <c r="N1059" s="73"/>
      <c r="O1059" s="73"/>
      <c r="P1059" s="73"/>
      <c r="Q1059" s="73"/>
      <c r="R1059" s="73"/>
      <c r="S1059" s="73"/>
      <c r="T1059" s="73"/>
      <c r="U1059" s="73"/>
      <c r="V1059" s="73"/>
      <c r="W1059" s="73"/>
      <c r="X1059" s="73"/>
      <c r="Y1059" s="73"/>
    </row>
    <row r="1060">
      <c r="A1060" s="73"/>
      <c r="B1060" s="73"/>
      <c r="C1060" s="73"/>
      <c r="D1060" s="73"/>
      <c r="E1060" s="73"/>
      <c r="F1060" s="73"/>
      <c r="G1060" s="73"/>
      <c r="H1060" s="73"/>
      <c r="I1060" s="73"/>
      <c r="J1060" s="73"/>
      <c r="K1060" s="73"/>
      <c r="L1060" s="73"/>
      <c r="M1060" s="73"/>
      <c r="N1060" s="73"/>
      <c r="O1060" s="73"/>
      <c r="P1060" s="73"/>
      <c r="Q1060" s="73"/>
      <c r="R1060" s="73"/>
      <c r="S1060" s="73"/>
      <c r="T1060" s="73"/>
      <c r="U1060" s="73"/>
      <c r="V1060" s="73"/>
      <c r="W1060" s="73"/>
      <c r="X1060" s="73"/>
      <c r="Y1060" s="73"/>
    </row>
    <row r="1061">
      <c r="A1061" s="73"/>
      <c r="B1061" s="73"/>
      <c r="C1061" s="73"/>
      <c r="D1061" s="179"/>
      <c r="E1061" s="73"/>
      <c r="F1061" s="73"/>
      <c r="G1061" s="73"/>
      <c r="H1061" s="179"/>
      <c r="I1061" s="73"/>
      <c r="J1061" s="73"/>
      <c r="K1061" s="73"/>
      <c r="L1061" s="73"/>
      <c r="M1061" s="73"/>
      <c r="N1061" s="73"/>
      <c r="O1061" s="73"/>
      <c r="P1061" s="73"/>
      <c r="Q1061" s="73"/>
      <c r="R1061" s="73"/>
      <c r="S1061" s="73"/>
      <c r="T1061" s="73"/>
      <c r="U1061" s="73"/>
      <c r="V1061" s="73"/>
      <c r="W1061" s="73"/>
      <c r="X1061" s="73"/>
      <c r="Y1061" s="73"/>
    </row>
    <row r="1062">
      <c r="A1062" s="73"/>
      <c r="B1062" s="73"/>
      <c r="C1062" s="73"/>
      <c r="D1062" s="179"/>
      <c r="E1062" s="73"/>
      <c r="F1062" s="73"/>
      <c r="G1062" s="73"/>
      <c r="H1062" s="179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  <c r="S1062" s="73"/>
      <c r="T1062" s="73"/>
      <c r="U1062" s="73"/>
      <c r="V1062" s="73"/>
      <c r="W1062" s="73"/>
      <c r="X1062" s="73"/>
      <c r="Y1062" s="73"/>
    </row>
    <row r="1063">
      <c r="A1063" s="73"/>
      <c r="B1063" s="73"/>
      <c r="C1063" s="73"/>
      <c r="D1063" s="179"/>
      <c r="E1063" s="73"/>
      <c r="F1063" s="73"/>
      <c r="G1063" s="73"/>
      <c r="H1063" s="179"/>
      <c r="I1063" s="73"/>
      <c r="J1063" s="73"/>
      <c r="K1063" s="73"/>
      <c r="L1063" s="73"/>
      <c r="M1063" s="73"/>
      <c r="N1063" s="73"/>
      <c r="O1063" s="73"/>
      <c r="P1063" s="73"/>
      <c r="Q1063" s="73"/>
      <c r="R1063" s="73"/>
      <c r="S1063" s="73"/>
      <c r="T1063" s="73"/>
      <c r="U1063" s="73"/>
      <c r="V1063" s="73"/>
      <c r="W1063" s="73"/>
      <c r="X1063" s="73"/>
      <c r="Y1063" s="73"/>
    </row>
    <row r="1064">
      <c r="A1064" s="73"/>
      <c r="B1064" s="73"/>
      <c r="C1064" s="73"/>
      <c r="D1064" s="179"/>
      <c r="E1064" s="73"/>
      <c r="F1064" s="73"/>
      <c r="G1064" s="73"/>
      <c r="H1064" s="179"/>
      <c r="I1064" s="73"/>
      <c r="J1064" s="73"/>
      <c r="K1064" s="73"/>
      <c r="L1064" s="73"/>
      <c r="M1064" s="73"/>
      <c r="N1064" s="73"/>
      <c r="O1064" s="73"/>
      <c r="P1064" s="73"/>
      <c r="Q1064" s="73"/>
      <c r="R1064" s="73"/>
      <c r="S1064" s="73"/>
      <c r="T1064" s="73"/>
      <c r="U1064" s="73"/>
      <c r="V1064" s="73"/>
      <c r="W1064" s="73"/>
      <c r="X1064" s="73"/>
      <c r="Y1064" s="73"/>
    </row>
  </sheetData>
  <mergeCells count="178">
    <mergeCell ref="H19:H21"/>
    <mergeCell ref="H22:H25"/>
    <mergeCell ref="A19:A25"/>
    <mergeCell ref="B19:B25"/>
    <mergeCell ref="C19:C25"/>
    <mergeCell ref="D19:D25"/>
    <mergeCell ref="E19:E25"/>
    <mergeCell ref="F19:F25"/>
    <mergeCell ref="G19:G25"/>
    <mergeCell ref="H4:H8"/>
    <mergeCell ref="J4:J8"/>
    <mergeCell ref="A4:A8"/>
    <mergeCell ref="B4:B8"/>
    <mergeCell ref="C4:C8"/>
    <mergeCell ref="D4:D8"/>
    <mergeCell ref="E4:E8"/>
    <mergeCell ref="F4:F8"/>
    <mergeCell ref="G4:G8"/>
    <mergeCell ref="A1:C1"/>
    <mergeCell ref="H9:H12"/>
    <mergeCell ref="J9:J12"/>
    <mergeCell ref="K9:K12"/>
    <mergeCell ref="Q9:Q12"/>
    <mergeCell ref="A9:A12"/>
    <mergeCell ref="B9:B12"/>
    <mergeCell ref="C9:C12"/>
    <mergeCell ref="D9:D12"/>
    <mergeCell ref="E9:E12"/>
    <mergeCell ref="F9:F12"/>
    <mergeCell ref="G9:G12"/>
    <mergeCell ref="H13:H17"/>
    <mergeCell ref="J13:J17"/>
    <mergeCell ref="J19:J20"/>
    <mergeCell ref="K19:K20"/>
    <mergeCell ref="A13:A17"/>
    <mergeCell ref="B13:B17"/>
    <mergeCell ref="C13:C17"/>
    <mergeCell ref="D13:D17"/>
    <mergeCell ref="E13:E17"/>
    <mergeCell ref="F13:F17"/>
    <mergeCell ref="G13:G17"/>
    <mergeCell ref="G32:G34"/>
    <mergeCell ref="H32:H34"/>
    <mergeCell ref="B26:B30"/>
    <mergeCell ref="C26:C30"/>
    <mergeCell ref="D26:D30"/>
    <mergeCell ref="E26:E30"/>
    <mergeCell ref="F26:F30"/>
    <mergeCell ref="G26:G30"/>
    <mergeCell ref="H26:H30"/>
    <mergeCell ref="A26:A30"/>
    <mergeCell ref="A32:A34"/>
    <mergeCell ref="B32:B34"/>
    <mergeCell ref="C32:C34"/>
    <mergeCell ref="D32:D34"/>
    <mergeCell ref="E32:E34"/>
    <mergeCell ref="F32:F34"/>
    <mergeCell ref="A35:A37"/>
    <mergeCell ref="B35:B37"/>
    <mergeCell ref="C35:C37"/>
    <mergeCell ref="D35:D37"/>
    <mergeCell ref="E35:E37"/>
    <mergeCell ref="F35:F37"/>
    <mergeCell ref="G35:G37"/>
    <mergeCell ref="Q38:Q39"/>
    <mergeCell ref="R38:R39"/>
    <mergeCell ref="S38:S39"/>
    <mergeCell ref="T38:T39"/>
    <mergeCell ref="H35:H37"/>
    <mergeCell ref="J35:J37"/>
    <mergeCell ref="J38:J39"/>
    <mergeCell ref="K38:K39"/>
    <mergeCell ref="L38:L39"/>
    <mergeCell ref="M38:M39"/>
    <mergeCell ref="N38:N39"/>
    <mergeCell ref="H38:H39"/>
    <mergeCell ref="H40:H42"/>
    <mergeCell ref="A38:A42"/>
    <mergeCell ref="B38:B42"/>
    <mergeCell ref="C38:C42"/>
    <mergeCell ref="D38:D42"/>
    <mergeCell ref="E38:E42"/>
    <mergeCell ref="F38:F42"/>
    <mergeCell ref="G38:G42"/>
    <mergeCell ref="H43:H44"/>
    <mergeCell ref="J43:J44"/>
    <mergeCell ref="K43:K44"/>
    <mergeCell ref="L43:L44"/>
    <mergeCell ref="M43:M44"/>
    <mergeCell ref="N43:N44"/>
    <mergeCell ref="O43:O44"/>
    <mergeCell ref="A43:A44"/>
    <mergeCell ref="B43:B44"/>
    <mergeCell ref="C43:C44"/>
    <mergeCell ref="D43:D44"/>
    <mergeCell ref="E43:E44"/>
    <mergeCell ref="F43:F44"/>
    <mergeCell ref="G43:G44"/>
    <mergeCell ref="B46:B47"/>
    <mergeCell ref="C46:C47"/>
    <mergeCell ref="D46:D47"/>
    <mergeCell ref="E46:E47"/>
    <mergeCell ref="F46:F47"/>
    <mergeCell ref="G46:G47"/>
    <mergeCell ref="H46:H47"/>
    <mergeCell ref="G48:G65"/>
    <mergeCell ref="H48:H51"/>
    <mergeCell ref="J48:J65"/>
    <mergeCell ref="K48:K65"/>
    <mergeCell ref="H52:H56"/>
    <mergeCell ref="H57:H60"/>
    <mergeCell ref="H61:H65"/>
    <mergeCell ref="A46:A47"/>
    <mergeCell ref="A48:A65"/>
    <mergeCell ref="B48:B65"/>
    <mergeCell ref="C48:C65"/>
    <mergeCell ref="D48:D65"/>
    <mergeCell ref="E48:E65"/>
    <mergeCell ref="F48:F65"/>
    <mergeCell ref="G69:G71"/>
    <mergeCell ref="H69:H71"/>
    <mergeCell ref="D66:D71"/>
    <mergeCell ref="E66:E71"/>
    <mergeCell ref="F66:F68"/>
    <mergeCell ref="G66:G68"/>
    <mergeCell ref="H66:H68"/>
    <mergeCell ref="J66:J69"/>
    <mergeCell ref="F69:F71"/>
    <mergeCell ref="T91:T101"/>
    <mergeCell ref="U91:U101"/>
    <mergeCell ref="V91:V101"/>
    <mergeCell ref="W91:W101"/>
    <mergeCell ref="X91:X101"/>
    <mergeCell ref="Y91:Y101"/>
    <mergeCell ref="J88:J90"/>
    <mergeCell ref="J91:J101"/>
    <mergeCell ref="K91:K101"/>
    <mergeCell ref="O91:O101"/>
    <mergeCell ref="Q91:Q101"/>
    <mergeCell ref="R91:R101"/>
    <mergeCell ref="S91:S101"/>
    <mergeCell ref="D72:D75"/>
    <mergeCell ref="E72:E75"/>
    <mergeCell ref="F72:F75"/>
    <mergeCell ref="G72:G75"/>
    <mergeCell ref="J72:J75"/>
    <mergeCell ref="D76:D77"/>
    <mergeCell ref="E76:E77"/>
    <mergeCell ref="J76:J77"/>
    <mergeCell ref="F76:F77"/>
    <mergeCell ref="G76:G77"/>
    <mergeCell ref="E79:E82"/>
    <mergeCell ref="F79:F82"/>
    <mergeCell ref="G79:G82"/>
    <mergeCell ref="H79:H82"/>
    <mergeCell ref="J79:J82"/>
    <mergeCell ref="D79:D82"/>
    <mergeCell ref="D83:D86"/>
    <mergeCell ref="E83:E86"/>
    <mergeCell ref="F83:F86"/>
    <mergeCell ref="G83:G86"/>
    <mergeCell ref="H83:H86"/>
    <mergeCell ref="J83:J86"/>
    <mergeCell ref="B91:B101"/>
    <mergeCell ref="C91:C101"/>
    <mergeCell ref="D91:D101"/>
    <mergeCell ref="E91:E101"/>
    <mergeCell ref="F91:F101"/>
    <mergeCell ref="G91:G101"/>
    <mergeCell ref="H95:H98"/>
    <mergeCell ref="H99:H101"/>
    <mergeCell ref="D88:D90"/>
    <mergeCell ref="E88:E90"/>
    <mergeCell ref="F88:F90"/>
    <mergeCell ref="G88:G90"/>
    <mergeCell ref="H88:H90"/>
    <mergeCell ref="A91:A101"/>
    <mergeCell ref="H91:H9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75"/>
    <col customWidth="1" min="2" max="2" width="18.38"/>
    <col customWidth="1" min="3" max="3" width="26.63"/>
    <col customWidth="1" min="4" max="5" width="30.25"/>
    <col customWidth="1" min="8" max="8" width="31.13"/>
    <col customWidth="1" min="9" max="9" width="28.38"/>
    <col customWidth="1" min="16" max="16" width="33.5"/>
    <col customWidth="1" min="18" max="18" width="32.63"/>
  </cols>
  <sheetData>
    <row r="1">
      <c r="A1" s="180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7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7" t="s">
        <v>7</v>
      </c>
      <c r="G3" s="7" t="s">
        <v>489</v>
      </c>
      <c r="H3" s="7" t="s">
        <v>9</v>
      </c>
      <c r="I3" s="9" t="s">
        <v>10</v>
      </c>
      <c r="J3" s="7" t="s">
        <v>110</v>
      </c>
      <c r="K3" s="7" t="s">
        <v>12</v>
      </c>
      <c r="L3" s="7" t="s">
        <v>490</v>
      </c>
      <c r="M3" s="7" t="s">
        <v>491</v>
      </c>
      <c r="N3" s="7" t="s">
        <v>492</v>
      </c>
      <c r="O3" s="7" t="s">
        <v>16</v>
      </c>
      <c r="P3" s="7" t="s">
        <v>17</v>
      </c>
      <c r="Q3" s="7" t="s">
        <v>18</v>
      </c>
      <c r="R3" s="7" t="s">
        <v>19</v>
      </c>
      <c r="S3" s="10" t="s">
        <v>493</v>
      </c>
      <c r="T3" s="2"/>
      <c r="U3" s="2"/>
      <c r="V3" s="2"/>
      <c r="W3" s="2"/>
      <c r="X3" s="2"/>
      <c r="Y3" s="2"/>
      <c r="Z3" s="2"/>
      <c r="AA3" s="2"/>
    </row>
    <row r="4">
      <c r="A4" s="181">
        <v>1.0</v>
      </c>
      <c r="B4" s="181" t="s">
        <v>494</v>
      </c>
      <c r="C4" s="182" t="s">
        <v>495</v>
      </c>
      <c r="D4" s="183" t="s">
        <v>496</v>
      </c>
      <c r="E4" s="184" t="s">
        <v>497</v>
      </c>
      <c r="F4" s="183"/>
      <c r="G4" s="183">
        <v>12.0</v>
      </c>
      <c r="H4" s="184" t="s">
        <v>498</v>
      </c>
      <c r="I4" s="182"/>
      <c r="J4" s="182"/>
      <c r="K4" s="182"/>
      <c r="L4" s="185">
        <v>46023.0</v>
      </c>
      <c r="M4" s="185">
        <v>46387.0</v>
      </c>
      <c r="N4" s="186">
        <f>INT(NETWORKDAYS(L4,M4)/5)</f>
        <v>52</v>
      </c>
      <c r="O4" s="187"/>
      <c r="P4" s="182"/>
      <c r="Q4" s="182"/>
      <c r="R4" s="182" t="s">
        <v>499</v>
      </c>
      <c r="S4" s="182"/>
      <c r="T4" s="188"/>
      <c r="U4" s="188"/>
      <c r="V4" s="188"/>
      <c r="W4" s="188"/>
      <c r="X4" s="188"/>
      <c r="Y4" s="188"/>
      <c r="Z4" s="188"/>
      <c r="AA4" s="188"/>
    </row>
    <row r="5">
      <c r="A5" s="189"/>
      <c r="B5" s="190"/>
      <c r="C5" s="190"/>
      <c r="D5" s="190"/>
      <c r="E5" s="190"/>
      <c r="F5" s="190"/>
      <c r="G5" s="191"/>
      <c r="H5" s="190"/>
      <c r="I5" s="190"/>
      <c r="J5" s="190"/>
      <c r="K5" s="190"/>
      <c r="L5" s="192"/>
      <c r="M5" s="192"/>
      <c r="N5" s="193"/>
      <c r="O5" s="194"/>
      <c r="P5" s="190"/>
      <c r="Q5" s="190"/>
      <c r="R5" s="190"/>
      <c r="S5" s="190"/>
      <c r="T5" s="2"/>
      <c r="U5" s="2"/>
      <c r="V5" s="2"/>
      <c r="W5" s="2"/>
      <c r="X5" s="2"/>
      <c r="Y5" s="2"/>
      <c r="Z5" s="2"/>
      <c r="AA5" s="2"/>
    </row>
    <row r="6">
      <c r="A6" s="11">
        <v>2.0</v>
      </c>
      <c r="B6" s="12" t="s">
        <v>500</v>
      </c>
      <c r="C6" s="13" t="s">
        <v>501</v>
      </c>
      <c r="D6" s="13" t="s">
        <v>501</v>
      </c>
      <c r="E6" s="13"/>
      <c r="F6" s="13" t="s">
        <v>502</v>
      </c>
      <c r="G6" s="12" t="s">
        <v>503</v>
      </c>
      <c r="H6" s="13" t="s">
        <v>504</v>
      </c>
      <c r="I6" s="21" t="s">
        <v>505</v>
      </c>
      <c r="J6" s="21" t="s">
        <v>506</v>
      </c>
      <c r="K6" s="21" t="s">
        <v>507</v>
      </c>
      <c r="L6" s="57">
        <v>46023.0</v>
      </c>
      <c r="M6" s="57">
        <v>46387.0</v>
      </c>
      <c r="N6" s="19">
        <f t="shared" ref="N6:N8" si="1">INT(NETWORKDAYS(L6,M6)/5)</f>
        <v>52</v>
      </c>
      <c r="O6" s="58"/>
      <c r="P6" s="21"/>
      <c r="Q6" s="21"/>
      <c r="R6" s="21" t="s">
        <v>508</v>
      </c>
      <c r="S6" s="21"/>
      <c r="T6" s="22"/>
      <c r="U6" s="22"/>
      <c r="V6" s="22"/>
      <c r="W6" s="22"/>
      <c r="X6" s="22"/>
      <c r="Y6" s="22"/>
      <c r="Z6" s="22"/>
      <c r="AA6" s="22"/>
    </row>
    <row r="7">
      <c r="A7" s="24"/>
      <c r="B7" s="24"/>
      <c r="C7" s="24"/>
      <c r="D7" s="24"/>
      <c r="E7" s="24"/>
      <c r="F7" s="24"/>
      <c r="G7" s="24"/>
      <c r="H7" s="24"/>
      <c r="I7" s="190" t="s">
        <v>509</v>
      </c>
      <c r="J7" s="190" t="s">
        <v>506</v>
      </c>
      <c r="K7" s="190" t="s">
        <v>510</v>
      </c>
      <c r="L7" s="195">
        <v>46023.0</v>
      </c>
      <c r="M7" s="195">
        <v>46387.0</v>
      </c>
      <c r="N7" s="196">
        <f t="shared" si="1"/>
        <v>52</v>
      </c>
      <c r="O7" s="197">
        <v>9600000.0</v>
      </c>
      <c r="P7" s="190" t="s">
        <v>511</v>
      </c>
      <c r="Q7" s="190" t="s">
        <v>89</v>
      </c>
      <c r="R7" s="190" t="s">
        <v>512</v>
      </c>
      <c r="S7" s="190"/>
      <c r="T7" s="2"/>
      <c r="U7" s="2"/>
      <c r="V7" s="2"/>
      <c r="W7" s="2"/>
      <c r="X7" s="2"/>
      <c r="Y7" s="2"/>
      <c r="Z7" s="2"/>
      <c r="AA7" s="2"/>
    </row>
    <row r="8">
      <c r="A8" s="26"/>
      <c r="B8" s="26"/>
      <c r="C8" s="26"/>
      <c r="D8" s="26"/>
      <c r="E8" s="26"/>
      <c r="F8" s="26"/>
      <c r="G8" s="26"/>
      <c r="H8" s="26"/>
      <c r="I8" s="190" t="s">
        <v>513</v>
      </c>
      <c r="J8" s="190" t="s">
        <v>506</v>
      </c>
      <c r="K8" s="190" t="s">
        <v>507</v>
      </c>
      <c r="L8" s="195">
        <v>46023.0</v>
      </c>
      <c r="M8" s="195">
        <v>46387.0</v>
      </c>
      <c r="N8" s="196">
        <f t="shared" si="1"/>
        <v>52</v>
      </c>
      <c r="O8" s="197">
        <v>4800000.0</v>
      </c>
      <c r="P8" s="190" t="s">
        <v>514</v>
      </c>
      <c r="Q8" s="190"/>
      <c r="R8" s="190" t="s">
        <v>515</v>
      </c>
      <c r="S8" s="190"/>
      <c r="T8" s="2"/>
      <c r="U8" s="2"/>
      <c r="V8" s="2"/>
      <c r="W8" s="2"/>
      <c r="X8" s="2"/>
      <c r="Y8" s="2"/>
      <c r="Z8" s="2"/>
      <c r="AA8" s="2"/>
    </row>
    <row r="9">
      <c r="A9" s="189"/>
      <c r="B9" s="190"/>
      <c r="C9" s="190"/>
      <c r="D9" s="190"/>
      <c r="E9" s="190"/>
      <c r="F9" s="190"/>
      <c r="G9" s="191"/>
      <c r="H9" s="190"/>
      <c r="I9" s="190"/>
      <c r="J9" s="190"/>
      <c r="K9" s="190"/>
      <c r="L9" s="192"/>
      <c r="M9" s="192"/>
      <c r="N9" s="193"/>
      <c r="O9" s="194"/>
      <c r="P9" s="190"/>
      <c r="Q9" s="190"/>
      <c r="R9" s="190"/>
      <c r="S9" s="190"/>
      <c r="T9" s="2"/>
      <c r="U9" s="2"/>
      <c r="V9" s="2"/>
      <c r="W9" s="2"/>
      <c r="X9" s="2"/>
      <c r="Y9" s="2"/>
      <c r="Z9" s="2"/>
      <c r="AA9" s="2"/>
    </row>
    <row r="10" ht="61.5" customHeight="1">
      <c r="A10" s="11">
        <v>3.0</v>
      </c>
      <c r="B10" s="12" t="s">
        <v>516</v>
      </c>
      <c r="C10" s="13" t="s">
        <v>517</v>
      </c>
      <c r="D10" s="13" t="s">
        <v>517</v>
      </c>
      <c r="E10" s="14" t="s">
        <v>518</v>
      </c>
      <c r="F10" s="13" t="s">
        <v>502</v>
      </c>
      <c r="G10" s="12" t="s">
        <v>519</v>
      </c>
      <c r="H10" s="198" t="s">
        <v>520</v>
      </c>
      <c r="I10" s="198" t="s">
        <v>521</v>
      </c>
      <c r="J10" s="21" t="s">
        <v>522</v>
      </c>
      <c r="K10" s="21" t="s">
        <v>225</v>
      </c>
      <c r="L10" s="57">
        <v>46023.0</v>
      </c>
      <c r="M10" s="57">
        <v>46387.0</v>
      </c>
      <c r="N10" s="19">
        <f t="shared" ref="N10:N11" si="2">INT(NETWORKDAYS(L10,M10)/5)</f>
        <v>52</v>
      </c>
      <c r="O10" s="20" t="s">
        <v>523</v>
      </c>
      <c r="P10" s="21" t="s">
        <v>524</v>
      </c>
      <c r="Q10" s="21" t="s">
        <v>89</v>
      </c>
      <c r="R10" s="21"/>
      <c r="S10" s="21"/>
      <c r="T10" s="22"/>
      <c r="U10" s="22"/>
      <c r="V10" s="22"/>
      <c r="W10" s="22"/>
      <c r="X10" s="22"/>
      <c r="Y10" s="22"/>
      <c r="Z10" s="22"/>
      <c r="AA10" s="22"/>
    </row>
    <row r="11">
      <c r="A11" s="26"/>
      <c r="B11" s="26"/>
      <c r="C11" s="26"/>
      <c r="D11" s="26"/>
      <c r="E11" s="26"/>
      <c r="F11" s="26"/>
      <c r="G11" s="26"/>
      <c r="H11" s="21" t="s">
        <v>525</v>
      </c>
      <c r="I11" s="21" t="s">
        <v>526</v>
      </c>
      <c r="J11" s="21" t="s">
        <v>522</v>
      </c>
      <c r="K11" s="21" t="s">
        <v>225</v>
      </c>
      <c r="L11" s="57">
        <v>46023.0</v>
      </c>
      <c r="M11" s="57">
        <v>46387.0</v>
      </c>
      <c r="N11" s="19">
        <f t="shared" si="2"/>
        <v>52</v>
      </c>
      <c r="O11" s="20" t="s">
        <v>527</v>
      </c>
      <c r="P11" s="21" t="s">
        <v>528</v>
      </c>
      <c r="Q11" s="21" t="s">
        <v>89</v>
      </c>
      <c r="R11" s="21"/>
      <c r="S11" s="21"/>
      <c r="T11" s="22"/>
      <c r="U11" s="22"/>
      <c r="V11" s="22"/>
      <c r="W11" s="22"/>
      <c r="X11" s="22"/>
      <c r="Y11" s="22"/>
      <c r="Z11" s="22"/>
      <c r="AA11" s="22"/>
    </row>
    <row r="12">
      <c r="A12" s="199"/>
      <c r="B12" s="21"/>
      <c r="C12" s="21"/>
      <c r="D12" s="21"/>
      <c r="E12" s="21"/>
      <c r="F12" s="21"/>
      <c r="G12" s="200"/>
      <c r="H12" s="21"/>
      <c r="I12" s="21"/>
      <c r="J12" s="21"/>
      <c r="K12" s="21"/>
      <c r="L12" s="201"/>
      <c r="M12" s="201"/>
      <c r="N12" s="202"/>
      <c r="O12" s="58"/>
      <c r="P12" s="21"/>
      <c r="Q12" s="21"/>
      <c r="R12" s="21"/>
      <c r="S12" s="21"/>
      <c r="T12" s="22"/>
      <c r="U12" s="22"/>
      <c r="V12" s="22"/>
      <c r="W12" s="22"/>
      <c r="X12" s="22"/>
      <c r="Y12" s="22"/>
      <c r="Z12" s="22"/>
      <c r="AA12" s="22"/>
    </row>
    <row r="13">
      <c r="A13" s="11">
        <v>4.0</v>
      </c>
      <c r="B13" s="12" t="s">
        <v>516</v>
      </c>
      <c r="C13" s="13" t="s">
        <v>529</v>
      </c>
      <c r="D13" s="13" t="s">
        <v>529</v>
      </c>
      <c r="E13" s="14" t="s">
        <v>529</v>
      </c>
      <c r="F13" s="13" t="s">
        <v>138</v>
      </c>
      <c r="G13" s="12" t="s">
        <v>530</v>
      </c>
      <c r="H13" s="13" t="s">
        <v>531</v>
      </c>
      <c r="I13" s="21" t="s">
        <v>532</v>
      </c>
      <c r="J13" s="13" t="s">
        <v>142</v>
      </c>
      <c r="K13" s="13" t="s">
        <v>99</v>
      </c>
      <c r="L13" s="57">
        <v>46023.0</v>
      </c>
      <c r="M13" s="57">
        <v>46387.0</v>
      </c>
      <c r="N13" s="19">
        <f t="shared" ref="N13:N16" si="3">INT(NETWORKDAYS(L13,M13)/5)</f>
        <v>52</v>
      </c>
      <c r="O13" s="203" t="s">
        <v>533</v>
      </c>
      <c r="P13" s="13" t="s">
        <v>534</v>
      </c>
      <c r="Q13" s="13" t="s">
        <v>219</v>
      </c>
      <c r="R13" s="21"/>
      <c r="S13" s="21"/>
      <c r="T13" s="22"/>
      <c r="U13" s="22"/>
      <c r="V13" s="22"/>
      <c r="W13" s="22"/>
      <c r="X13" s="22"/>
      <c r="Y13" s="22"/>
      <c r="Z13" s="22"/>
      <c r="AA13" s="22"/>
    </row>
    <row r="14">
      <c r="A14" s="24"/>
      <c r="B14" s="24"/>
      <c r="C14" s="24"/>
      <c r="D14" s="24"/>
      <c r="E14" s="24"/>
      <c r="F14" s="24"/>
      <c r="G14" s="24"/>
      <c r="H14" s="26"/>
      <c r="I14" s="21" t="s">
        <v>535</v>
      </c>
      <c r="J14" s="26"/>
      <c r="K14" s="26"/>
      <c r="L14" s="57">
        <v>46023.0</v>
      </c>
      <c r="M14" s="57">
        <v>46387.0</v>
      </c>
      <c r="N14" s="19">
        <f t="shared" si="3"/>
        <v>52</v>
      </c>
      <c r="O14" s="26"/>
      <c r="P14" s="13" t="s">
        <v>536</v>
      </c>
      <c r="Q14" s="204" t="s">
        <v>219</v>
      </c>
      <c r="R14" s="21"/>
      <c r="S14" s="21"/>
      <c r="T14" s="22"/>
      <c r="U14" s="22"/>
      <c r="V14" s="22"/>
      <c r="W14" s="22"/>
      <c r="X14" s="22"/>
      <c r="Y14" s="22"/>
      <c r="Z14" s="22"/>
      <c r="AA14" s="22"/>
    </row>
    <row r="15">
      <c r="A15" s="24"/>
      <c r="B15" s="24"/>
      <c r="C15" s="24"/>
      <c r="D15" s="24"/>
      <c r="E15" s="24"/>
      <c r="F15" s="24"/>
      <c r="G15" s="24"/>
      <c r="H15" s="190" t="s">
        <v>537</v>
      </c>
      <c r="I15" s="190" t="s">
        <v>538</v>
      </c>
      <c r="J15" s="190" t="s">
        <v>522</v>
      </c>
      <c r="K15" s="190" t="s">
        <v>225</v>
      </c>
      <c r="L15" s="195">
        <v>46023.0</v>
      </c>
      <c r="M15" s="195">
        <v>46387.0</v>
      </c>
      <c r="N15" s="196">
        <f t="shared" si="3"/>
        <v>52</v>
      </c>
      <c r="O15" s="205" t="s">
        <v>539</v>
      </c>
      <c r="P15" s="194" t="s">
        <v>540</v>
      </c>
      <c r="Q15" s="190" t="s">
        <v>89</v>
      </c>
      <c r="R15" s="190"/>
      <c r="S15" s="190"/>
      <c r="T15" s="2"/>
      <c r="U15" s="2"/>
      <c r="V15" s="2"/>
      <c r="W15" s="2"/>
      <c r="X15" s="2"/>
      <c r="Y15" s="2"/>
      <c r="Z15" s="2"/>
      <c r="AA15" s="2"/>
    </row>
    <row r="16">
      <c r="A16" s="26"/>
      <c r="B16" s="26"/>
      <c r="C16" s="26"/>
      <c r="D16" s="26"/>
      <c r="E16" s="26"/>
      <c r="F16" s="26"/>
      <c r="G16" s="26"/>
      <c r="H16" s="190" t="s">
        <v>541</v>
      </c>
      <c r="I16" s="190" t="s">
        <v>542</v>
      </c>
      <c r="J16" s="190" t="s">
        <v>522</v>
      </c>
      <c r="K16" s="190" t="s">
        <v>225</v>
      </c>
      <c r="L16" s="195">
        <v>46023.0</v>
      </c>
      <c r="M16" s="195">
        <v>46387.0</v>
      </c>
      <c r="N16" s="196">
        <f t="shared" si="3"/>
        <v>52</v>
      </c>
      <c r="O16" s="205" t="s">
        <v>527</v>
      </c>
      <c r="P16" s="190" t="s">
        <v>543</v>
      </c>
      <c r="Q16" s="190" t="s">
        <v>89</v>
      </c>
      <c r="R16" s="190"/>
      <c r="S16" s="190"/>
      <c r="T16" s="2"/>
      <c r="U16" s="2"/>
      <c r="V16" s="2"/>
      <c r="W16" s="2"/>
      <c r="X16" s="2"/>
      <c r="Y16" s="2"/>
      <c r="Z16" s="2"/>
      <c r="AA16" s="2"/>
    </row>
    <row r="17">
      <c r="A17" s="189"/>
      <c r="B17" s="190"/>
      <c r="C17" s="190"/>
      <c r="D17" s="190"/>
      <c r="E17" s="190"/>
      <c r="F17" s="190"/>
      <c r="G17" s="191"/>
      <c r="H17" s="190"/>
      <c r="I17" s="190"/>
      <c r="J17" s="190"/>
      <c r="K17" s="190"/>
      <c r="L17" s="192"/>
      <c r="M17" s="192"/>
      <c r="N17" s="193"/>
      <c r="O17" s="194"/>
      <c r="P17" s="190"/>
      <c r="Q17" s="190"/>
      <c r="R17" s="190"/>
      <c r="S17" s="190"/>
      <c r="T17" s="2"/>
      <c r="U17" s="2"/>
      <c r="V17" s="2"/>
      <c r="W17" s="2"/>
      <c r="X17" s="2"/>
      <c r="Y17" s="2"/>
      <c r="Z17" s="2"/>
      <c r="AA17" s="2"/>
    </row>
    <row r="18">
      <c r="A18" s="206">
        <v>5.0</v>
      </c>
      <c r="B18" s="206" t="s">
        <v>544</v>
      </c>
      <c r="C18" s="207" t="s">
        <v>545</v>
      </c>
      <c r="D18" s="208" t="s">
        <v>546</v>
      </c>
      <c r="E18" s="208" t="s">
        <v>546</v>
      </c>
      <c r="F18" s="209" t="s">
        <v>547</v>
      </c>
      <c r="G18" s="209">
        <v>1.0</v>
      </c>
      <c r="H18" s="208" t="s">
        <v>548</v>
      </c>
      <c r="I18" s="210" t="s">
        <v>549</v>
      </c>
      <c r="J18" s="182"/>
      <c r="K18" s="182"/>
      <c r="L18" s="185"/>
      <c r="M18" s="185"/>
      <c r="N18" s="186"/>
      <c r="O18" s="187"/>
      <c r="P18" s="182"/>
      <c r="Q18" s="208" t="s">
        <v>550</v>
      </c>
      <c r="R18" s="208" t="s">
        <v>551</v>
      </c>
      <c r="S18" s="182"/>
      <c r="T18" s="188"/>
      <c r="U18" s="188"/>
      <c r="V18" s="188"/>
      <c r="W18" s="188"/>
      <c r="X18" s="188"/>
      <c r="Y18" s="188"/>
      <c r="Z18" s="188"/>
      <c r="AA18" s="188"/>
    </row>
    <row r="19">
      <c r="A19" s="24"/>
      <c r="B19" s="24"/>
      <c r="C19" s="24"/>
      <c r="D19" s="24"/>
      <c r="E19" s="24"/>
      <c r="F19" s="24"/>
      <c r="G19" s="24"/>
      <c r="H19" s="24"/>
      <c r="I19" s="210" t="s">
        <v>552</v>
      </c>
      <c r="J19" s="182"/>
      <c r="K19" s="182"/>
      <c r="L19" s="185"/>
      <c r="M19" s="185"/>
      <c r="N19" s="186"/>
      <c r="O19" s="187"/>
      <c r="P19" s="182"/>
      <c r="Q19" s="24"/>
      <c r="R19" s="24"/>
      <c r="S19" s="182"/>
      <c r="T19" s="188"/>
      <c r="U19" s="188"/>
      <c r="V19" s="188"/>
      <c r="W19" s="188"/>
      <c r="X19" s="188"/>
      <c r="Y19" s="188"/>
      <c r="Z19" s="188"/>
      <c r="AA19" s="188"/>
    </row>
    <row r="20">
      <c r="A20" s="24"/>
      <c r="B20" s="24"/>
      <c r="C20" s="24"/>
      <c r="D20" s="24"/>
      <c r="E20" s="24"/>
      <c r="F20" s="24"/>
      <c r="G20" s="24"/>
      <c r="H20" s="24"/>
      <c r="I20" s="210" t="s">
        <v>553</v>
      </c>
      <c r="J20" s="182"/>
      <c r="K20" s="182"/>
      <c r="L20" s="185"/>
      <c r="M20" s="185"/>
      <c r="N20" s="186"/>
      <c r="O20" s="187"/>
      <c r="P20" s="182"/>
      <c r="Q20" s="24"/>
      <c r="R20" s="24"/>
      <c r="S20" s="182"/>
      <c r="T20" s="188"/>
      <c r="U20" s="188"/>
      <c r="V20" s="188"/>
      <c r="W20" s="188"/>
      <c r="X20" s="188"/>
      <c r="Y20" s="188"/>
      <c r="Z20" s="188"/>
      <c r="AA20" s="188"/>
    </row>
    <row r="21">
      <c r="A21" s="24"/>
      <c r="B21" s="24"/>
      <c r="C21" s="24"/>
      <c r="D21" s="26"/>
      <c r="E21" s="26"/>
      <c r="F21" s="26"/>
      <c r="G21" s="26"/>
      <c r="H21" s="26"/>
      <c r="I21" s="210" t="s">
        <v>554</v>
      </c>
      <c r="J21" s="182"/>
      <c r="K21" s="182"/>
      <c r="L21" s="185"/>
      <c r="M21" s="185"/>
      <c r="N21" s="186"/>
      <c r="O21" s="187"/>
      <c r="P21" s="182"/>
      <c r="Q21" s="26"/>
      <c r="R21" s="26"/>
      <c r="S21" s="182"/>
      <c r="T21" s="188"/>
      <c r="U21" s="188"/>
      <c r="V21" s="188"/>
      <c r="W21" s="188"/>
      <c r="X21" s="188"/>
      <c r="Y21" s="188"/>
      <c r="Z21" s="188"/>
      <c r="AA21" s="188"/>
    </row>
    <row r="22">
      <c r="A22" s="24"/>
      <c r="B22" s="24"/>
      <c r="C22" s="24"/>
      <c r="D22" s="211" t="s">
        <v>555</v>
      </c>
      <c r="E22" s="13"/>
      <c r="F22" s="211" t="s">
        <v>138</v>
      </c>
      <c r="G22" s="212" t="s">
        <v>556</v>
      </c>
      <c r="H22" s="198" t="s">
        <v>557</v>
      </c>
      <c r="I22" s="198" t="s">
        <v>558</v>
      </c>
      <c r="J22" s="21" t="s">
        <v>294</v>
      </c>
      <c r="K22" s="21" t="s">
        <v>559</v>
      </c>
      <c r="L22" s="57">
        <v>46113.0</v>
      </c>
      <c r="M22" s="57">
        <v>46387.0</v>
      </c>
      <c r="N22" s="19">
        <f t="shared" ref="N22:N23" si="4">INT(NETWORKDAYS(L22,M22)/5)</f>
        <v>39</v>
      </c>
      <c r="O22" s="20" t="s">
        <v>560</v>
      </c>
      <c r="P22" s="21" t="s">
        <v>560</v>
      </c>
      <c r="Q22" s="21" t="s">
        <v>89</v>
      </c>
      <c r="R22" s="21"/>
      <c r="S22" s="21"/>
      <c r="T22" s="22"/>
      <c r="U22" s="22"/>
      <c r="V22" s="22"/>
      <c r="W22" s="22"/>
      <c r="X22" s="22"/>
      <c r="Y22" s="22"/>
      <c r="Z22" s="22"/>
      <c r="AA22" s="22"/>
    </row>
    <row r="23">
      <c r="A23" s="26"/>
      <c r="B23" s="26"/>
      <c r="C23" s="26"/>
      <c r="D23" s="26"/>
      <c r="E23" s="26"/>
      <c r="F23" s="26"/>
      <c r="G23" s="26"/>
      <c r="H23" s="198" t="s">
        <v>561</v>
      </c>
      <c r="I23" s="198" t="s">
        <v>562</v>
      </c>
      <c r="J23" s="21" t="s">
        <v>294</v>
      </c>
      <c r="K23" s="21" t="s">
        <v>559</v>
      </c>
      <c r="L23" s="57">
        <v>46113.0</v>
      </c>
      <c r="M23" s="57">
        <v>46387.0</v>
      </c>
      <c r="N23" s="19">
        <f t="shared" si="4"/>
        <v>39</v>
      </c>
      <c r="O23" s="20" t="s">
        <v>563</v>
      </c>
      <c r="P23" s="21" t="s">
        <v>564</v>
      </c>
      <c r="Q23" s="21" t="s">
        <v>89</v>
      </c>
      <c r="R23" s="21"/>
      <c r="S23" s="21"/>
      <c r="T23" s="22"/>
      <c r="U23" s="22"/>
      <c r="V23" s="22"/>
      <c r="W23" s="22"/>
      <c r="X23" s="22"/>
      <c r="Y23" s="22"/>
      <c r="Z23" s="22"/>
      <c r="AA23" s="22"/>
    </row>
    <row r="24">
      <c r="A24" s="189"/>
      <c r="B24" s="190"/>
      <c r="C24" s="190"/>
      <c r="D24" s="190"/>
      <c r="E24" s="190"/>
      <c r="F24" s="190"/>
      <c r="G24" s="191"/>
      <c r="H24" s="190"/>
      <c r="I24" s="190"/>
      <c r="J24" s="190"/>
      <c r="K24" s="190"/>
      <c r="L24" s="192"/>
      <c r="M24" s="192"/>
      <c r="N24" s="193"/>
      <c r="O24" s="194"/>
      <c r="P24" s="190"/>
      <c r="Q24" s="190"/>
      <c r="R24" s="190"/>
      <c r="S24" s="190"/>
      <c r="T24" s="2"/>
      <c r="U24" s="2"/>
      <c r="V24" s="2"/>
      <c r="W24" s="2"/>
      <c r="X24" s="2"/>
      <c r="Y24" s="2"/>
      <c r="Z24" s="2"/>
      <c r="AA24" s="2"/>
    </row>
    <row r="25">
      <c r="A25" s="51">
        <v>6.0</v>
      </c>
      <c r="B25" s="51" t="s">
        <v>565</v>
      </c>
      <c r="C25" s="39" t="s">
        <v>566</v>
      </c>
      <c r="D25" s="42" t="s">
        <v>567</v>
      </c>
      <c r="E25" s="213" t="s">
        <v>568</v>
      </c>
      <c r="F25" s="214">
        <v>78.0</v>
      </c>
      <c r="G25" s="214">
        <v>121.0</v>
      </c>
      <c r="H25" s="213" t="s">
        <v>569</v>
      </c>
      <c r="I25" s="42" t="s">
        <v>570</v>
      </c>
      <c r="J25" s="181" t="s">
        <v>55</v>
      </c>
      <c r="K25" s="181"/>
      <c r="L25" s="214" t="s">
        <v>571</v>
      </c>
      <c r="M25" s="214" t="s">
        <v>428</v>
      </c>
      <c r="N25" s="215">
        <v>17.0</v>
      </c>
      <c r="O25" s="187"/>
      <c r="P25" s="182"/>
      <c r="Q25" s="182" t="s">
        <v>572</v>
      </c>
      <c r="R25" s="183" t="s">
        <v>573</v>
      </c>
      <c r="S25" s="182"/>
      <c r="T25" s="216"/>
      <c r="U25" s="216"/>
      <c r="V25" s="216"/>
      <c r="W25" s="216"/>
      <c r="X25" s="216"/>
      <c r="Y25" s="216"/>
      <c r="Z25" s="216"/>
      <c r="AA25" s="216"/>
    </row>
    <row r="26">
      <c r="A26" s="189"/>
      <c r="B26" s="217"/>
      <c r="C26" s="217"/>
      <c r="D26" s="217"/>
      <c r="E26" s="218"/>
      <c r="F26" s="218"/>
      <c r="G26" s="218"/>
      <c r="H26" s="217"/>
      <c r="I26" s="190"/>
      <c r="J26" s="217"/>
      <c r="K26" s="217"/>
      <c r="L26" s="192"/>
      <c r="M26" s="219"/>
      <c r="N26" s="193"/>
      <c r="O26" s="194"/>
      <c r="P26" s="190"/>
      <c r="Q26" s="190"/>
      <c r="R26" s="190"/>
      <c r="S26" s="190"/>
      <c r="T26" s="2"/>
      <c r="U26" s="2"/>
      <c r="V26" s="2"/>
      <c r="W26" s="2"/>
      <c r="X26" s="2"/>
      <c r="Y26" s="2"/>
      <c r="Z26" s="2"/>
      <c r="AA26" s="2"/>
    </row>
    <row r="27">
      <c r="A27" s="27">
        <v>7.0</v>
      </c>
      <c r="B27" s="27" t="s">
        <v>574</v>
      </c>
      <c r="C27" s="29" t="s">
        <v>575</v>
      </c>
      <c r="D27" s="31" t="s">
        <v>576</v>
      </c>
      <c r="E27" s="208" t="s">
        <v>577</v>
      </c>
      <c r="F27" s="209" t="s">
        <v>578</v>
      </c>
      <c r="G27" s="220" t="s">
        <v>579</v>
      </c>
      <c r="H27" s="29" t="s">
        <v>580</v>
      </c>
      <c r="I27" s="39" t="s">
        <v>581</v>
      </c>
      <c r="J27" s="27" t="s">
        <v>582</v>
      </c>
      <c r="K27" s="28" t="s">
        <v>583</v>
      </c>
      <c r="L27" s="221">
        <v>46113.0</v>
      </c>
      <c r="M27" s="222">
        <v>46326.0</v>
      </c>
      <c r="N27" s="223">
        <f t="shared" ref="N27:N28" si="5">INT(NETWORKDAYS(L27,M27)/5)</f>
        <v>30</v>
      </c>
      <c r="O27" s="50" t="s">
        <v>584</v>
      </c>
      <c r="P27" s="39" t="s">
        <v>585</v>
      </c>
      <c r="Q27" s="39" t="s">
        <v>586</v>
      </c>
      <c r="R27" s="39"/>
      <c r="S27" s="39"/>
      <c r="T27" s="224" t="s">
        <v>587</v>
      </c>
      <c r="U27" s="216"/>
      <c r="V27" s="216"/>
      <c r="W27" s="216"/>
      <c r="X27" s="216"/>
      <c r="Y27" s="216"/>
      <c r="Z27" s="216"/>
      <c r="AA27" s="216"/>
    </row>
    <row r="28">
      <c r="A28" s="26"/>
      <c r="B28" s="24"/>
      <c r="C28" s="24"/>
      <c r="D28" s="24"/>
      <c r="E28" s="24"/>
      <c r="F28" s="24"/>
      <c r="G28" s="24"/>
      <c r="H28" s="24"/>
      <c r="I28" s="39" t="s">
        <v>588</v>
      </c>
      <c r="J28" s="24"/>
      <c r="K28" s="24"/>
      <c r="L28" s="221">
        <v>46143.0</v>
      </c>
      <c r="M28" s="222">
        <v>46326.0</v>
      </c>
      <c r="N28" s="223">
        <f t="shared" si="5"/>
        <v>26</v>
      </c>
      <c r="O28" s="50" t="s">
        <v>589</v>
      </c>
      <c r="P28" s="39" t="s">
        <v>590</v>
      </c>
      <c r="Q28" s="39" t="s">
        <v>586</v>
      </c>
      <c r="R28" s="39"/>
      <c r="S28" s="39"/>
      <c r="T28" s="224" t="s">
        <v>587</v>
      </c>
      <c r="U28" s="216"/>
      <c r="V28" s="216"/>
      <c r="W28" s="216"/>
      <c r="X28" s="216"/>
      <c r="Y28" s="216"/>
      <c r="Z28" s="216"/>
      <c r="AA28" s="216"/>
    </row>
    <row r="29">
      <c r="A29" s="189"/>
      <c r="B29" s="217"/>
      <c r="C29" s="217"/>
      <c r="D29" s="217"/>
      <c r="E29" s="217"/>
      <c r="F29" s="217"/>
      <c r="G29" s="217"/>
      <c r="H29" s="217"/>
      <c r="I29" s="190"/>
      <c r="J29" s="217"/>
      <c r="K29" s="217"/>
      <c r="L29" s="192"/>
      <c r="M29" s="192"/>
      <c r="N29" s="193"/>
      <c r="O29" s="194"/>
      <c r="P29" s="190"/>
      <c r="Q29" s="190"/>
      <c r="R29" s="190"/>
      <c r="S29" s="190"/>
      <c r="T29" s="2"/>
      <c r="U29" s="2"/>
      <c r="V29" s="2"/>
      <c r="W29" s="2"/>
      <c r="X29" s="2"/>
      <c r="Y29" s="2"/>
      <c r="Z29" s="2"/>
      <c r="AA29" s="2"/>
    </row>
    <row r="30">
      <c r="A30" s="225">
        <v>8.0</v>
      </c>
      <c r="B30" s="226" t="s">
        <v>591</v>
      </c>
      <c r="C30" s="21" t="s">
        <v>592</v>
      </c>
      <c r="D30" s="198" t="s">
        <v>593</v>
      </c>
      <c r="E30" s="21"/>
      <c r="F30" s="226" t="s">
        <v>502</v>
      </c>
      <c r="G30" s="226" t="s">
        <v>594</v>
      </c>
      <c r="H30" s="21" t="s">
        <v>595</v>
      </c>
      <c r="I30" s="21" t="s">
        <v>596</v>
      </c>
      <c r="J30" s="21" t="s">
        <v>55</v>
      </c>
      <c r="K30" s="21" t="s">
        <v>597</v>
      </c>
      <c r="L30" s="57">
        <v>46023.0</v>
      </c>
      <c r="M30" s="57">
        <v>46387.0</v>
      </c>
      <c r="N30" s="19">
        <f t="shared" ref="N30:N38" si="6">INT(NETWORKDAYS(L30,M30)/5)</f>
        <v>52</v>
      </c>
      <c r="O30" s="58" t="s">
        <v>598</v>
      </c>
      <c r="P30" s="21" t="s">
        <v>598</v>
      </c>
      <c r="Q30" s="21" t="s">
        <v>586</v>
      </c>
      <c r="R30" s="21"/>
      <c r="S30" s="21"/>
      <c r="T30" s="22"/>
      <c r="U30" s="22"/>
      <c r="V30" s="22"/>
      <c r="W30" s="22"/>
      <c r="X30" s="22"/>
      <c r="Y30" s="22"/>
      <c r="Z30" s="22"/>
      <c r="AA30" s="22"/>
    </row>
    <row r="31">
      <c r="A31" s="199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57">
        <v>46023.0</v>
      </c>
      <c r="M31" s="57">
        <v>46387.0</v>
      </c>
      <c r="N31" s="19">
        <f t="shared" si="6"/>
        <v>52</v>
      </c>
      <c r="O31" s="58"/>
      <c r="P31" s="21"/>
      <c r="Q31" s="21"/>
      <c r="R31" s="21"/>
      <c r="S31" s="21"/>
      <c r="T31" s="22"/>
      <c r="U31" s="22"/>
      <c r="V31" s="22"/>
      <c r="W31" s="22"/>
      <c r="X31" s="22"/>
      <c r="Y31" s="22"/>
      <c r="Z31" s="22"/>
      <c r="AA31" s="22"/>
    </row>
    <row r="32">
      <c r="A32" s="11">
        <v>9.0</v>
      </c>
      <c r="B32" s="12" t="s">
        <v>599</v>
      </c>
      <c r="C32" s="13" t="s">
        <v>600</v>
      </c>
      <c r="D32" s="13" t="s">
        <v>600</v>
      </c>
      <c r="E32" s="13"/>
      <c r="F32" s="12" t="s">
        <v>601</v>
      </c>
      <c r="G32" s="227" t="s">
        <v>602</v>
      </c>
      <c r="H32" s="13" t="s">
        <v>603</v>
      </c>
      <c r="I32" s="21" t="s">
        <v>604</v>
      </c>
      <c r="J32" s="13" t="s">
        <v>605</v>
      </c>
      <c r="K32" s="13" t="s">
        <v>606</v>
      </c>
      <c r="L32" s="57">
        <v>46023.0</v>
      </c>
      <c r="M32" s="57">
        <v>46053.0</v>
      </c>
      <c r="N32" s="19">
        <f t="shared" si="6"/>
        <v>4</v>
      </c>
      <c r="O32" s="58"/>
      <c r="P32" s="21"/>
      <c r="Q32" s="21" t="s">
        <v>607</v>
      </c>
      <c r="R32" s="21"/>
      <c r="S32" s="13" t="s">
        <v>608</v>
      </c>
      <c r="T32" s="22"/>
      <c r="U32" s="22"/>
      <c r="V32" s="22"/>
      <c r="W32" s="22"/>
      <c r="X32" s="22"/>
      <c r="Y32" s="22"/>
      <c r="Z32" s="22"/>
      <c r="AA32" s="22"/>
    </row>
    <row r="33">
      <c r="A33" s="24"/>
      <c r="B33" s="24"/>
      <c r="C33" s="24"/>
      <c r="D33" s="24"/>
      <c r="E33" s="24"/>
      <c r="F33" s="24"/>
      <c r="G33" s="24"/>
      <c r="H33" s="24"/>
      <c r="I33" s="21" t="s">
        <v>609</v>
      </c>
      <c r="J33" s="24"/>
      <c r="K33" s="24"/>
      <c r="L33" s="57">
        <v>46023.0</v>
      </c>
      <c r="M33" s="57">
        <v>46234.0</v>
      </c>
      <c r="N33" s="19">
        <f t="shared" si="6"/>
        <v>30</v>
      </c>
      <c r="O33" s="58"/>
      <c r="P33" s="21"/>
      <c r="Q33" s="21" t="s">
        <v>610</v>
      </c>
      <c r="R33" s="21"/>
      <c r="S33" s="24"/>
      <c r="T33" s="22"/>
      <c r="U33" s="22"/>
      <c r="V33" s="22"/>
      <c r="W33" s="22"/>
      <c r="X33" s="22"/>
      <c r="Y33" s="22"/>
      <c r="Z33" s="22"/>
      <c r="AA33" s="22"/>
    </row>
    <row r="34">
      <c r="A34" s="26"/>
      <c r="B34" s="26"/>
      <c r="C34" s="26"/>
      <c r="D34" s="26"/>
      <c r="E34" s="26"/>
      <c r="F34" s="26"/>
      <c r="G34" s="26"/>
      <c r="H34" s="26"/>
      <c r="I34" s="21" t="s">
        <v>611</v>
      </c>
      <c r="J34" s="26"/>
      <c r="K34" s="26"/>
      <c r="L34" s="57">
        <v>46235.0</v>
      </c>
      <c r="M34" s="57">
        <v>46387.0</v>
      </c>
      <c r="N34" s="19">
        <f t="shared" si="6"/>
        <v>21</v>
      </c>
      <c r="O34" s="58"/>
      <c r="P34" s="21"/>
      <c r="Q34" s="21" t="s">
        <v>610</v>
      </c>
      <c r="R34" s="21"/>
      <c r="S34" s="26"/>
      <c r="T34" s="22"/>
      <c r="U34" s="22"/>
      <c r="V34" s="22"/>
      <c r="W34" s="22"/>
      <c r="X34" s="22"/>
      <c r="Y34" s="22"/>
      <c r="Z34" s="22"/>
      <c r="AA34" s="22"/>
    </row>
    <row r="35">
      <c r="A35" s="199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57">
        <v>46023.0</v>
      </c>
      <c r="M35" s="57">
        <v>46387.0</v>
      </c>
      <c r="N35" s="19">
        <f t="shared" si="6"/>
        <v>52</v>
      </c>
      <c r="O35" s="58"/>
      <c r="P35" s="21"/>
      <c r="Q35" s="21"/>
      <c r="R35" s="21"/>
      <c r="S35" s="21"/>
      <c r="T35" s="22"/>
      <c r="U35" s="22"/>
      <c r="V35" s="22"/>
      <c r="W35" s="22"/>
      <c r="X35" s="22"/>
      <c r="Y35" s="22"/>
      <c r="Z35" s="22"/>
      <c r="AA35" s="22"/>
    </row>
    <row r="36">
      <c r="A36" s="11">
        <v>10.0</v>
      </c>
      <c r="B36" s="12" t="s">
        <v>612</v>
      </c>
      <c r="C36" s="13" t="s">
        <v>613</v>
      </c>
      <c r="D36" s="13" t="s">
        <v>613</v>
      </c>
      <c r="E36" s="14" t="s">
        <v>613</v>
      </c>
      <c r="F36" s="15" t="s">
        <v>614</v>
      </c>
      <c r="G36" s="15" t="s">
        <v>615</v>
      </c>
      <c r="H36" s="14" t="s">
        <v>616</v>
      </c>
      <c r="I36" s="45" t="s">
        <v>617</v>
      </c>
      <c r="J36" s="226" t="s">
        <v>618</v>
      </c>
      <c r="K36" s="226" t="s">
        <v>619</v>
      </c>
      <c r="L36" s="57">
        <v>46112.0</v>
      </c>
      <c r="M36" s="57">
        <v>46387.0</v>
      </c>
      <c r="N36" s="19">
        <f t="shared" si="6"/>
        <v>39</v>
      </c>
      <c r="O36" s="228">
        <v>0.0</v>
      </c>
      <c r="P36" s="229">
        <v>0.0</v>
      </c>
      <c r="Q36" s="21" t="s">
        <v>620</v>
      </c>
      <c r="R36" s="21"/>
      <c r="S36" s="21"/>
      <c r="T36" s="22"/>
      <c r="U36" s="22"/>
      <c r="V36" s="22"/>
      <c r="W36" s="22"/>
      <c r="X36" s="22"/>
      <c r="Y36" s="22"/>
      <c r="Z36" s="22"/>
      <c r="AA36" s="22"/>
    </row>
    <row r="37">
      <c r="A37" s="24"/>
      <c r="B37" s="24"/>
      <c r="C37" s="24"/>
      <c r="D37" s="24"/>
      <c r="E37" s="24"/>
      <c r="F37" s="24"/>
      <c r="G37" s="24"/>
      <c r="H37" s="26"/>
      <c r="I37" s="45" t="s">
        <v>621</v>
      </c>
      <c r="J37" s="226" t="s">
        <v>618</v>
      </c>
      <c r="K37" s="226" t="s">
        <v>142</v>
      </c>
      <c r="L37" s="57">
        <v>46082.0</v>
      </c>
      <c r="M37" s="57">
        <v>46173.0</v>
      </c>
      <c r="N37" s="19">
        <f t="shared" si="6"/>
        <v>13</v>
      </c>
      <c r="O37" s="58" t="s">
        <v>622</v>
      </c>
      <c r="P37" s="21" t="s">
        <v>623</v>
      </c>
      <c r="Q37" s="21" t="s">
        <v>620</v>
      </c>
      <c r="R37" s="21"/>
      <c r="S37" s="21"/>
      <c r="T37" s="22"/>
      <c r="U37" s="22"/>
      <c r="V37" s="22"/>
      <c r="W37" s="22"/>
      <c r="X37" s="22"/>
      <c r="Y37" s="22"/>
      <c r="Z37" s="22"/>
      <c r="AA37" s="22"/>
    </row>
    <row r="38">
      <c r="A38" s="26"/>
      <c r="B38" s="26"/>
      <c r="C38" s="26"/>
      <c r="D38" s="26"/>
      <c r="E38" s="26"/>
      <c r="F38" s="26"/>
      <c r="G38" s="26"/>
      <c r="H38" s="14" t="s">
        <v>624</v>
      </c>
      <c r="I38" s="45" t="s">
        <v>625</v>
      </c>
      <c r="J38" s="226" t="s">
        <v>618</v>
      </c>
      <c r="K38" s="226" t="s">
        <v>626</v>
      </c>
      <c r="L38" s="57">
        <v>46113.0</v>
      </c>
      <c r="M38" s="57">
        <v>46249.0</v>
      </c>
      <c r="N38" s="19">
        <f t="shared" si="6"/>
        <v>19</v>
      </c>
      <c r="O38" s="46" t="s">
        <v>627</v>
      </c>
      <c r="P38" s="45" t="s">
        <v>628</v>
      </c>
      <c r="Q38" s="21" t="s">
        <v>620</v>
      </c>
      <c r="R38" s="21"/>
      <c r="S38" s="21"/>
      <c r="T38" s="22"/>
      <c r="U38" s="22"/>
      <c r="V38" s="22"/>
      <c r="W38" s="22"/>
      <c r="X38" s="22"/>
      <c r="Y38" s="22"/>
      <c r="Z38" s="22"/>
      <c r="AA38" s="22"/>
    </row>
    <row r="39">
      <c r="A39" s="225">
        <v>16.0</v>
      </c>
      <c r="B39" s="21"/>
      <c r="C39" s="21"/>
      <c r="D39" s="230"/>
      <c r="E39" s="21"/>
      <c r="F39" s="21"/>
      <c r="G39" s="21"/>
      <c r="H39" s="26"/>
      <c r="I39" s="45" t="s">
        <v>629</v>
      </c>
      <c r="J39" s="231" t="s">
        <v>618</v>
      </c>
      <c r="K39" s="231" t="s">
        <v>630</v>
      </c>
      <c r="L39" s="232">
        <v>46113.0</v>
      </c>
      <c r="M39" s="232">
        <v>46295.0</v>
      </c>
      <c r="N39" s="233">
        <v>26.0</v>
      </c>
      <c r="O39" s="234" t="s">
        <v>627</v>
      </c>
      <c r="P39" s="235" t="s">
        <v>631</v>
      </c>
      <c r="Q39" s="235" t="s">
        <v>620</v>
      </c>
      <c r="R39" s="21"/>
      <c r="S39" s="21"/>
      <c r="T39" s="22"/>
      <c r="U39" s="22"/>
      <c r="V39" s="22"/>
      <c r="W39" s="22"/>
      <c r="X39" s="22"/>
      <c r="Y39" s="22"/>
      <c r="Z39" s="22"/>
      <c r="AA39" s="22"/>
    </row>
    <row r="40">
      <c r="A40" s="51">
        <v>17.0</v>
      </c>
      <c r="B40" s="29"/>
      <c r="C40" s="29"/>
      <c r="D40" s="31" t="s">
        <v>632</v>
      </c>
      <c r="E40" s="31" t="s">
        <v>633</v>
      </c>
      <c r="F40" s="236">
        <v>0.15</v>
      </c>
      <c r="G40" s="236">
        <v>0.3</v>
      </c>
      <c r="H40" s="237" t="s">
        <v>634</v>
      </c>
      <c r="I40" s="39" t="s">
        <v>635</v>
      </c>
      <c r="J40" s="31" t="s">
        <v>636</v>
      </c>
      <c r="K40" s="31" t="s">
        <v>55</v>
      </c>
      <c r="L40" s="238">
        <v>46054.0</v>
      </c>
      <c r="M40" s="239">
        <v>46113.0</v>
      </c>
      <c r="N40" s="36">
        <v>10.0</v>
      </c>
      <c r="O40" s="50"/>
      <c r="P40" s="39" t="s">
        <v>637</v>
      </c>
      <c r="Q40" s="42" t="s">
        <v>638</v>
      </c>
      <c r="R40" s="39"/>
      <c r="S40" s="39"/>
      <c r="T40" s="216"/>
      <c r="U40" s="216"/>
      <c r="V40" s="216"/>
      <c r="W40" s="216"/>
      <c r="X40" s="216"/>
      <c r="Y40" s="216"/>
      <c r="Z40" s="216"/>
      <c r="AA40" s="216"/>
    </row>
    <row r="41">
      <c r="A41" s="51"/>
      <c r="B41" s="26"/>
      <c r="C41" s="26"/>
      <c r="D41" s="26"/>
      <c r="E41" s="26"/>
      <c r="F41" s="240"/>
      <c r="G41" s="240"/>
      <c r="H41" s="240"/>
      <c r="I41" s="39" t="s">
        <v>639</v>
      </c>
      <c r="J41" s="26"/>
      <c r="K41" s="26"/>
      <c r="L41" s="221" t="s">
        <v>207</v>
      </c>
      <c r="M41" s="221" t="s">
        <v>207</v>
      </c>
      <c r="N41" s="36">
        <v>1.0</v>
      </c>
      <c r="O41" s="50"/>
      <c r="P41" s="39" t="s">
        <v>640</v>
      </c>
      <c r="Q41" s="42" t="s">
        <v>45</v>
      </c>
      <c r="R41" s="39"/>
      <c r="S41" s="39"/>
      <c r="T41" s="216"/>
      <c r="U41" s="216"/>
      <c r="V41" s="216"/>
      <c r="W41" s="216"/>
      <c r="X41" s="216"/>
      <c r="Y41" s="216"/>
      <c r="Z41" s="216"/>
      <c r="AA41" s="216"/>
    </row>
    <row r="42">
      <c r="A42" s="51">
        <v>18.0</v>
      </c>
      <c r="B42" s="39"/>
      <c r="C42" s="39"/>
      <c r="D42" s="42" t="s">
        <v>641</v>
      </c>
      <c r="E42" s="42" t="s">
        <v>641</v>
      </c>
      <c r="F42" s="236">
        <v>0.95</v>
      </c>
      <c r="G42" s="237"/>
      <c r="H42" s="237" t="s">
        <v>642</v>
      </c>
      <c r="I42" s="39"/>
      <c r="J42" s="39"/>
      <c r="K42" s="39"/>
      <c r="L42" s="221">
        <v>46023.0</v>
      </c>
      <c r="M42" s="221">
        <v>46387.0</v>
      </c>
      <c r="N42" s="223">
        <f t="shared" ref="N42:N44" si="7">INT(NETWORKDAYS(L42,M42)/5)</f>
        <v>52</v>
      </c>
      <c r="O42" s="50"/>
      <c r="P42" s="39"/>
      <c r="Q42" s="39"/>
      <c r="R42" s="39"/>
      <c r="S42" s="39"/>
      <c r="T42" s="216"/>
      <c r="U42" s="216"/>
      <c r="V42" s="216"/>
      <c r="W42" s="216"/>
      <c r="X42" s="216"/>
      <c r="Y42" s="216"/>
      <c r="Z42" s="216"/>
      <c r="AA42" s="216"/>
    </row>
    <row r="43">
      <c r="A43" s="241">
        <v>19.0</v>
      </c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5">
        <v>46023.0</v>
      </c>
      <c r="M43" s="195">
        <v>46387.0</v>
      </c>
      <c r="N43" s="196">
        <f t="shared" si="7"/>
        <v>52</v>
      </c>
      <c r="O43" s="194"/>
      <c r="P43" s="190"/>
      <c r="Q43" s="190"/>
      <c r="R43" s="190"/>
      <c r="S43" s="190"/>
      <c r="T43" s="2"/>
      <c r="U43" s="2"/>
      <c r="V43" s="2"/>
      <c r="W43" s="2"/>
      <c r="X43" s="2"/>
      <c r="Y43" s="2"/>
      <c r="Z43" s="2"/>
      <c r="AA43" s="2"/>
    </row>
    <row r="44">
      <c r="A44" s="241">
        <v>20.0</v>
      </c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5">
        <v>46023.0</v>
      </c>
      <c r="M44" s="195">
        <v>46387.0</v>
      </c>
      <c r="N44" s="196">
        <f t="shared" si="7"/>
        <v>52</v>
      </c>
      <c r="O44" s="194"/>
      <c r="P44" s="190"/>
      <c r="Q44" s="190"/>
      <c r="R44" s="190"/>
      <c r="S44" s="190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42" t="s">
        <v>106</v>
      </c>
      <c r="C46" s="2"/>
      <c r="D46" s="242" t="s">
        <v>107</v>
      </c>
      <c r="E46" s="24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</sheetData>
  <mergeCells count="80">
    <mergeCell ref="A18:A23"/>
    <mergeCell ref="B18:B23"/>
    <mergeCell ref="C18:C23"/>
    <mergeCell ref="D18:D21"/>
    <mergeCell ref="E18:E21"/>
    <mergeCell ref="F18:F21"/>
    <mergeCell ref="G18:G21"/>
    <mergeCell ref="D22:D23"/>
    <mergeCell ref="E22:E23"/>
    <mergeCell ref="A27:A28"/>
    <mergeCell ref="B27:B28"/>
    <mergeCell ref="C27:C28"/>
    <mergeCell ref="D27:D28"/>
    <mergeCell ref="E27:E28"/>
    <mergeCell ref="H32:H34"/>
    <mergeCell ref="J32:J34"/>
    <mergeCell ref="K32:K34"/>
    <mergeCell ref="S32:S34"/>
    <mergeCell ref="A32:A34"/>
    <mergeCell ref="B32:B34"/>
    <mergeCell ref="C32:C34"/>
    <mergeCell ref="D32:D34"/>
    <mergeCell ref="E32:E34"/>
    <mergeCell ref="F32:F34"/>
    <mergeCell ref="G32:G34"/>
    <mergeCell ref="H36:H37"/>
    <mergeCell ref="H38:H39"/>
    <mergeCell ref="A36:A38"/>
    <mergeCell ref="B36:B38"/>
    <mergeCell ref="C36:C38"/>
    <mergeCell ref="D36:D38"/>
    <mergeCell ref="E36:E38"/>
    <mergeCell ref="F36:F38"/>
    <mergeCell ref="G36:G38"/>
    <mergeCell ref="J40:J41"/>
    <mergeCell ref="K40:K41"/>
    <mergeCell ref="B40:B41"/>
    <mergeCell ref="C40:C41"/>
    <mergeCell ref="D40:D41"/>
    <mergeCell ref="E40:E41"/>
    <mergeCell ref="F40:F41"/>
    <mergeCell ref="G40:G41"/>
    <mergeCell ref="H40:H41"/>
    <mergeCell ref="B6:B8"/>
    <mergeCell ref="C6:C8"/>
    <mergeCell ref="D6:D8"/>
    <mergeCell ref="E6:E8"/>
    <mergeCell ref="F6:F8"/>
    <mergeCell ref="G6:G8"/>
    <mergeCell ref="H6:H8"/>
    <mergeCell ref="A6:A8"/>
    <mergeCell ref="B10:B11"/>
    <mergeCell ref="C10:C11"/>
    <mergeCell ref="D10:D11"/>
    <mergeCell ref="E10:E11"/>
    <mergeCell ref="F10:F11"/>
    <mergeCell ref="G10:G11"/>
    <mergeCell ref="A1:C1"/>
    <mergeCell ref="G13:G16"/>
    <mergeCell ref="H13:H14"/>
    <mergeCell ref="J13:J14"/>
    <mergeCell ref="K13:K14"/>
    <mergeCell ref="O13:O14"/>
    <mergeCell ref="A10:A11"/>
    <mergeCell ref="A13:A16"/>
    <mergeCell ref="B13:B16"/>
    <mergeCell ref="C13:C16"/>
    <mergeCell ref="D13:D16"/>
    <mergeCell ref="E13:E16"/>
    <mergeCell ref="F13:F16"/>
    <mergeCell ref="H18:H21"/>
    <mergeCell ref="Q18:Q21"/>
    <mergeCell ref="R18:R21"/>
    <mergeCell ref="F22:F23"/>
    <mergeCell ref="G22:G23"/>
    <mergeCell ref="F27:F28"/>
    <mergeCell ref="G27:G28"/>
    <mergeCell ref="H27:H28"/>
    <mergeCell ref="J27:J28"/>
    <mergeCell ref="K27:K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38"/>
    <col customWidth="1" min="2" max="2" width="19.63"/>
    <col customWidth="1" min="3" max="3" width="34.75"/>
    <col customWidth="1" min="4" max="5" width="29.38"/>
    <col customWidth="1" min="8" max="8" width="31.63"/>
    <col customWidth="1" min="9" max="9" width="29.75"/>
    <col customWidth="1" min="16" max="16" width="29.75"/>
  </cols>
  <sheetData>
    <row r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5"/>
      <c r="U1" s="245"/>
      <c r="V1" s="245"/>
      <c r="W1" s="245"/>
      <c r="X1" s="245"/>
      <c r="Y1" s="245"/>
      <c r="Z1" s="245"/>
      <c r="AA1" s="245"/>
    </row>
    <row r="2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5"/>
      <c r="U2" s="245"/>
      <c r="V2" s="245"/>
      <c r="W2" s="245"/>
      <c r="X2" s="245"/>
      <c r="Y2" s="245"/>
      <c r="Z2" s="245"/>
      <c r="AA2" s="245"/>
    </row>
    <row r="3">
      <c r="A3" s="74" t="s">
        <v>2</v>
      </c>
      <c r="B3" s="74" t="s">
        <v>3</v>
      </c>
      <c r="C3" s="74" t="s">
        <v>4</v>
      </c>
      <c r="D3" s="74" t="s">
        <v>5</v>
      </c>
      <c r="E3" s="75" t="s">
        <v>6</v>
      </c>
      <c r="F3" s="74" t="s">
        <v>7</v>
      </c>
      <c r="G3" s="74" t="s">
        <v>643</v>
      </c>
      <c r="H3" s="74" t="s">
        <v>9</v>
      </c>
      <c r="I3" s="76" t="s">
        <v>10</v>
      </c>
      <c r="J3" s="74" t="s">
        <v>110</v>
      </c>
      <c r="K3" s="74" t="s">
        <v>12</v>
      </c>
      <c r="L3" s="74" t="s">
        <v>644</v>
      </c>
      <c r="M3" s="74" t="s">
        <v>645</v>
      </c>
      <c r="N3" s="74" t="s">
        <v>646</v>
      </c>
      <c r="O3" s="74" t="s">
        <v>16</v>
      </c>
      <c r="P3" s="74" t="s">
        <v>17</v>
      </c>
      <c r="Q3" s="74" t="s">
        <v>18</v>
      </c>
      <c r="R3" s="74" t="s">
        <v>19</v>
      </c>
      <c r="S3" s="77" t="s">
        <v>647</v>
      </c>
      <c r="T3" s="246"/>
      <c r="U3" s="246"/>
      <c r="V3" s="246"/>
      <c r="W3" s="246"/>
      <c r="X3" s="246"/>
      <c r="Y3" s="246"/>
      <c r="Z3" s="246"/>
      <c r="AA3" s="246"/>
    </row>
    <row r="4">
      <c r="A4" s="247">
        <v>1.0</v>
      </c>
      <c r="B4" s="248" t="s">
        <v>648</v>
      </c>
      <c r="C4" s="249" t="s">
        <v>649</v>
      </c>
      <c r="D4" s="249" t="s">
        <v>650</v>
      </c>
      <c r="E4" s="250"/>
      <c r="F4" s="249" t="s">
        <v>138</v>
      </c>
      <c r="G4" s="251" t="s">
        <v>651</v>
      </c>
      <c r="H4" s="249" t="s">
        <v>652</v>
      </c>
      <c r="I4" s="252" t="s">
        <v>653</v>
      </c>
      <c r="J4" s="253" t="s">
        <v>143</v>
      </c>
      <c r="K4" s="254"/>
      <c r="L4" s="255">
        <v>46023.0</v>
      </c>
      <c r="M4" s="255">
        <v>46387.0</v>
      </c>
      <c r="N4" s="256">
        <f t="shared" ref="N4:N12" si="1">INT(NETWORKDAYS(L4,M4)/5)</f>
        <v>52</v>
      </c>
      <c r="O4" s="257">
        <v>800.0</v>
      </c>
      <c r="P4" s="252" t="s">
        <v>654</v>
      </c>
      <c r="Q4" s="252" t="s">
        <v>89</v>
      </c>
      <c r="R4" s="254"/>
      <c r="S4" s="254"/>
      <c r="T4" s="258"/>
      <c r="U4" s="258"/>
      <c r="V4" s="258"/>
      <c r="W4" s="258"/>
      <c r="X4" s="258"/>
      <c r="Y4" s="258"/>
      <c r="Z4" s="258"/>
      <c r="AA4" s="258"/>
    </row>
    <row r="5">
      <c r="A5" s="24"/>
      <c r="B5" s="24"/>
      <c r="C5" s="24"/>
      <c r="D5" s="24"/>
      <c r="E5" s="24"/>
      <c r="F5" s="24"/>
      <c r="G5" s="24"/>
      <c r="H5" s="24"/>
      <c r="I5" s="252" t="s">
        <v>655</v>
      </c>
      <c r="J5" s="253" t="s">
        <v>143</v>
      </c>
      <c r="K5" s="254"/>
      <c r="L5" s="255">
        <v>46023.0</v>
      </c>
      <c r="M5" s="255">
        <v>46387.0</v>
      </c>
      <c r="N5" s="256">
        <f t="shared" si="1"/>
        <v>52</v>
      </c>
      <c r="O5" s="257">
        <v>6000000.0</v>
      </c>
      <c r="P5" s="259" t="s">
        <v>656</v>
      </c>
      <c r="Q5" s="252" t="s">
        <v>89</v>
      </c>
      <c r="R5" s="254"/>
      <c r="S5" s="254"/>
      <c r="T5" s="258"/>
      <c r="U5" s="258"/>
      <c r="V5" s="258"/>
      <c r="W5" s="258"/>
      <c r="X5" s="258"/>
      <c r="Y5" s="258"/>
      <c r="Z5" s="258"/>
      <c r="AA5" s="258"/>
    </row>
    <row r="6">
      <c r="A6" s="26"/>
      <c r="B6" s="26"/>
      <c r="C6" s="26"/>
      <c r="D6" s="26"/>
      <c r="E6" s="26"/>
      <c r="F6" s="26"/>
      <c r="G6" s="26"/>
      <c r="H6" s="26"/>
      <c r="I6" s="252" t="s">
        <v>657</v>
      </c>
      <c r="J6" s="253" t="s">
        <v>143</v>
      </c>
      <c r="K6" s="254"/>
      <c r="L6" s="255">
        <v>46023.0</v>
      </c>
      <c r="M6" s="255">
        <v>46387.0</v>
      </c>
      <c r="N6" s="256">
        <f t="shared" si="1"/>
        <v>52</v>
      </c>
      <c r="O6" s="257">
        <v>95040.0</v>
      </c>
      <c r="P6" s="259" t="s">
        <v>658</v>
      </c>
      <c r="Q6" s="252" t="s">
        <v>89</v>
      </c>
      <c r="R6" s="254"/>
      <c r="S6" s="254"/>
      <c r="T6" s="258"/>
      <c r="U6" s="258"/>
      <c r="V6" s="258"/>
      <c r="W6" s="258"/>
      <c r="X6" s="258"/>
      <c r="Y6" s="258"/>
      <c r="Z6" s="258"/>
      <c r="AA6" s="258"/>
    </row>
    <row r="7">
      <c r="A7" s="260"/>
      <c r="B7" s="254"/>
      <c r="C7" s="254"/>
      <c r="D7" s="254"/>
      <c r="E7" s="254"/>
      <c r="F7" s="254"/>
      <c r="G7" s="254"/>
      <c r="H7" s="254"/>
      <c r="I7" s="254"/>
      <c r="J7" s="254"/>
      <c r="K7" s="254"/>
      <c r="L7" s="255">
        <v>46023.0</v>
      </c>
      <c r="M7" s="255">
        <v>46387.0</v>
      </c>
      <c r="N7" s="256">
        <f t="shared" si="1"/>
        <v>52</v>
      </c>
      <c r="O7" s="261"/>
      <c r="P7" s="254"/>
      <c r="Q7" s="254"/>
      <c r="R7" s="254"/>
      <c r="S7" s="254"/>
      <c r="T7" s="258"/>
      <c r="U7" s="258"/>
      <c r="V7" s="258"/>
      <c r="W7" s="258"/>
      <c r="X7" s="258"/>
      <c r="Y7" s="258"/>
      <c r="Z7" s="258"/>
      <c r="AA7" s="258"/>
    </row>
    <row r="8">
      <c r="A8" s="247">
        <v>2.0</v>
      </c>
      <c r="B8" s="248" t="s">
        <v>659</v>
      </c>
      <c r="C8" s="249" t="s">
        <v>660</v>
      </c>
      <c r="D8" s="249" t="s">
        <v>661</v>
      </c>
      <c r="E8" s="250"/>
      <c r="F8" s="262" t="s">
        <v>662</v>
      </c>
      <c r="G8" s="262" t="s">
        <v>663</v>
      </c>
      <c r="H8" s="249" t="s">
        <v>664</v>
      </c>
      <c r="I8" s="263" t="s">
        <v>665</v>
      </c>
      <c r="J8" s="253" t="s">
        <v>294</v>
      </c>
      <c r="K8" s="253" t="s">
        <v>666</v>
      </c>
      <c r="L8" s="255">
        <v>46023.0</v>
      </c>
      <c r="M8" s="255">
        <v>46112.0</v>
      </c>
      <c r="N8" s="256">
        <f t="shared" si="1"/>
        <v>12</v>
      </c>
      <c r="O8" s="264" t="s">
        <v>667</v>
      </c>
      <c r="P8" s="265" t="s">
        <v>668</v>
      </c>
      <c r="Q8" s="252" t="s">
        <v>89</v>
      </c>
      <c r="R8" s="254"/>
      <c r="S8" s="254"/>
      <c r="T8" s="258"/>
      <c r="U8" s="258"/>
      <c r="V8" s="258"/>
      <c r="W8" s="258"/>
      <c r="X8" s="258"/>
      <c r="Y8" s="258"/>
      <c r="Z8" s="258"/>
      <c r="AA8" s="258"/>
    </row>
    <row r="9">
      <c r="A9" s="26"/>
      <c r="B9" s="26"/>
      <c r="C9" s="26"/>
      <c r="D9" s="26"/>
      <c r="E9" s="26"/>
      <c r="F9" s="26"/>
      <c r="G9" s="26"/>
      <c r="H9" s="26"/>
      <c r="I9" s="263" t="s">
        <v>669</v>
      </c>
      <c r="J9" s="253" t="s">
        <v>294</v>
      </c>
      <c r="K9" s="253" t="s">
        <v>670</v>
      </c>
      <c r="L9" s="255">
        <v>46048.0</v>
      </c>
      <c r="M9" s="255">
        <v>46112.0</v>
      </c>
      <c r="N9" s="256">
        <f t="shared" si="1"/>
        <v>9</v>
      </c>
      <c r="O9" s="266" t="s">
        <v>671</v>
      </c>
      <c r="P9" s="267" t="s">
        <v>672</v>
      </c>
      <c r="Q9" s="252" t="s">
        <v>89</v>
      </c>
      <c r="R9" s="254"/>
      <c r="S9" s="254"/>
      <c r="T9" s="258"/>
      <c r="U9" s="258"/>
      <c r="V9" s="258"/>
      <c r="W9" s="258"/>
      <c r="X9" s="258"/>
      <c r="Y9" s="258"/>
      <c r="Z9" s="258"/>
      <c r="AA9" s="258"/>
    </row>
    <row r="10">
      <c r="A10" s="260"/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5">
        <v>46023.0</v>
      </c>
      <c r="M10" s="255">
        <v>46387.0</v>
      </c>
      <c r="N10" s="256">
        <f t="shared" si="1"/>
        <v>52</v>
      </c>
      <c r="O10" s="261"/>
      <c r="P10" s="254"/>
      <c r="Q10" s="254"/>
      <c r="R10" s="254"/>
      <c r="S10" s="254"/>
      <c r="T10" s="258"/>
      <c r="U10" s="258"/>
      <c r="V10" s="258"/>
      <c r="W10" s="258"/>
      <c r="X10" s="258"/>
      <c r="Y10" s="258"/>
      <c r="Z10" s="258"/>
      <c r="AA10" s="258"/>
    </row>
    <row r="11">
      <c r="A11" s="247">
        <v>3.0</v>
      </c>
      <c r="B11" s="248" t="s">
        <v>673</v>
      </c>
      <c r="C11" s="249" t="s">
        <v>674</v>
      </c>
      <c r="D11" s="249" t="s">
        <v>675</v>
      </c>
      <c r="E11" s="250"/>
      <c r="F11" s="248" t="s">
        <v>676</v>
      </c>
      <c r="G11" s="248" t="s">
        <v>677</v>
      </c>
      <c r="H11" s="249" t="s">
        <v>678</v>
      </c>
      <c r="I11" s="252" t="s">
        <v>679</v>
      </c>
      <c r="J11" s="268" t="s">
        <v>258</v>
      </c>
      <c r="K11" s="268" t="s">
        <v>680</v>
      </c>
      <c r="L11" s="269">
        <v>46023.0</v>
      </c>
      <c r="M11" s="269">
        <v>46387.0</v>
      </c>
      <c r="N11" s="270">
        <f t="shared" si="1"/>
        <v>52</v>
      </c>
      <c r="O11" s="271"/>
      <c r="P11" s="271"/>
      <c r="Q11" s="272" t="s">
        <v>89</v>
      </c>
      <c r="R11" s="254"/>
      <c r="S11" s="254"/>
      <c r="T11" s="258"/>
      <c r="U11" s="258"/>
      <c r="V11" s="258"/>
      <c r="W11" s="258"/>
      <c r="X11" s="258"/>
      <c r="Y11" s="258"/>
      <c r="Z11" s="258"/>
      <c r="AA11" s="258"/>
    </row>
    <row r="12">
      <c r="A12" s="26"/>
      <c r="B12" s="26"/>
      <c r="C12" s="26"/>
      <c r="D12" s="26"/>
      <c r="E12" s="26"/>
      <c r="F12" s="26"/>
      <c r="G12" s="26"/>
      <c r="H12" s="26"/>
      <c r="I12" s="252" t="s">
        <v>681</v>
      </c>
      <c r="J12" s="268" t="s">
        <v>258</v>
      </c>
      <c r="K12" s="268" t="s">
        <v>680</v>
      </c>
      <c r="L12" s="269">
        <v>46023.0</v>
      </c>
      <c r="M12" s="269">
        <v>46387.0</v>
      </c>
      <c r="N12" s="270">
        <f t="shared" si="1"/>
        <v>52</v>
      </c>
      <c r="O12" s="264" t="s">
        <v>682</v>
      </c>
      <c r="P12" s="265" t="s">
        <v>683</v>
      </c>
      <c r="Q12" s="272" t="s">
        <v>89</v>
      </c>
      <c r="R12" s="254"/>
      <c r="S12" s="254"/>
      <c r="T12" s="258"/>
      <c r="U12" s="258"/>
      <c r="V12" s="258"/>
      <c r="W12" s="258"/>
      <c r="X12" s="258"/>
      <c r="Y12" s="258"/>
      <c r="Z12" s="258"/>
      <c r="AA12" s="258"/>
    </row>
    <row r="13">
      <c r="A13" s="260"/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73"/>
      <c r="M13" s="273"/>
      <c r="N13" s="274"/>
      <c r="O13" s="261"/>
      <c r="P13" s="254"/>
      <c r="Q13" s="254"/>
      <c r="R13" s="254"/>
      <c r="S13" s="254"/>
      <c r="T13" s="258"/>
      <c r="U13" s="258"/>
      <c r="V13" s="258"/>
      <c r="W13" s="258"/>
      <c r="X13" s="258"/>
      <c r="Y13" s="258"/>
      <c r="Z13" s="258"/>
      <c r="AA13" s="258"/>
    </row>
    <row r="14">
      <c r="A14" s="247">
        <v>4.0</v>
      </c>
      <c r="B14" s="248" t="s">
        <v>684</v>
      </c>
      <c r="C14" s="249" t="s">
        <v>685</v>
      </c>
      <c r="D14" s="249" t="s">
        <v>686</v>
      </c>
      <c r="E14" s="250"/>
      <c r="F14" s="275" t="s">
        <v>687</v>
      </c>
      <c r="G14" s="248" t="s">
        <v>688</v>
      </c>
      <c r="H14" s="249" t="s">
        <v>689</v>
      </c>
      <c r="I14" s="252" t="s">
        <v>690</v>
      </c>
      <c r="J14" s="276" t="s">
        <v>691</v>
      </c>
      <c r="K14" s="276" t="s">
        <v>55</v>
      </c>
      <c r="L14" s="277">
        <v>46023.0</v>
      </c>
      <c r="M14" s="277">
        <v>46142.0</v>
      </c>
      <c r="N14" s="278">
        <f>INT(NETWORKDAYS(L14,M14)/5)</f>
        <v>17</v>
      </c>
      <c r="O14" s="279" t="s">
        <v>692</v>
      </c>
      <c r="P14" s="272" t="s">
        <v>693</v>
      </c>
      <c r="Q14" s="276" t="s">
        <v>694</v>
      </c>
      <c r="R14" s="280" t="s">
        <v>695</v>
      </c>
      <c r="S14" s="281"/>
      <c r="T14" s="282"/>
      <c r="U14" s="282"/>
      <c r="V14" s="282"/>
      <c r="W14" s="282"/>
      <c r="X14" s="282"/>
      <c r="Y14" s="282"/>
      <c r="Z14" s="282"/>
      <c r="AA14" s="282"/>
    </row>
    <row r="15">
      <c r="A15" s="24"/>
      <c r="B15" s="24"/>
      <c r="C15" s="24"/>
      <c r="D15" s="24"/>
      <c r="E15" s="24"/>
      <c r="F15" s="24"/>
      <c r="G15" s="24"/>
      <c r="H15" s="24"/>
      <c r="I15" s="252" t="s">
        <v>696</v>
      </c>
      <c r="J15" s="24"/>
      <c r="K15" s="24"/>
      <c r="L15" s="24"/>
      <c r="M15" s="24"/>
      <c r="N15" s="24"/>
      <c r="O15" s="24"/>
      <c r="P15" s="272" t="s">
        <v>697</v>
      </c>
      <c r="Q15" s="24"/>
      <c r="R15" s="24"/>
      <c r="S15" s="281"/>
      <c r="T15" s="282"/>
      <c r="U15" s="282"/>
      <c r="V15" s="282"/>
      <c r="W15" s="282"/>
      <c r="X15" s="282"/>
      <c r="Y15" s="282"/>
      <c r="Z15" s="282"/>
      <c r="AA15" s="282"/>
    </row>
    <row r="16">
      <c r="A16" s="24"/>
      <c r="B16" s="24"/>
      <c r="C16" s="24"/>
      <c r="D16" s="24"/>
      <c r="E16" s="24"/>
      <c r="F16" s="24"/>
      <c r="G16" s="24"/>
      <c r="H16" s="24"/>
      <c r="I16" s="252" t="s">
        <v>698</v>
      </c>
      <c r="J16" s="24"/>
      <c r="K16" s="24"/>
      <c r="L16" s="24"/>
      <c r="M16" s="24"/>
      <c r="N16" s="24"/>
      <c r="O16" s="24"/>
      <c r="P16" s="272" t="s">
        <v>699</v>
      </c>
      <c r="Q16" s="24"/>
      <c r="R16" s="24"/>
      <c r="S16" s="281"/>
      <c r="T16" s="282"/>
      <c r="U16" s="282"/>
      <c r="V16" s="282"/>
      <c r="W16" s="282"/>
      <c r="X16" s="282"/>
      <c r="Y16" s="282"/>
      <c r="Z16" s="282"/>
      <c r="AA16" s="282"/>
    </row>
    <row r="17">
      <c r="A17" s="26"/>
      <c r="B17" s="26"/>
      <c r="C17" s="26"/>
      <c r="D17" s="26"/>
      <c r="E17" s="26"/>
      <c r="F17" s="26"/>
      <c r="G17" s="26"/>
      <c r="H17" s="26"/>
      <c r="I17" s="252" t="s">
        <v>700</v>
      </c>
      <c r="J17" s="26"/>
      <c r="K17" s="26"/>
      <c r="L17" s="26"/>
      <c r="M17" s="26"/>
      <c r="N17" s="26"/>
      <c r="O17" s="26"/>
      <c r="P17" s="272" t="s">
        <v>701</v>
      </c>
      <c r="Q17" s="26"/>
      <c r="R17" s="26"/>
      <c r="S17" s="281"/>
      <c r="T17" s="282"/>
      <c r="U17" s="282"/>
      <c r="V17" s="282"/>
      <c r="W17" s="282"/>
      <c r="X17" s="282"/>
      <c r="Y17" s="282"/>
      <c r="Z17" s="282"/>
      <c r="AA17" s="282"/>
    </row>
    <row r="18">
      <c r="A18" s="283"/>
      <c r="B18" s="284"/>
      <c r="C18" s="284"/>
      <c r="D18" s="284"/>
      <c r="E18" s="284"/>
      <c r="F18" s="284"/>
      <c r="G18" s="284"/>
      <c r="H18" s="284"/>
      <c r="I18" s="284"/>
      <c r="J18" s="284"/>
      <c r="K18" s="284"/>
      <c r="L18" s="285"/>
      <c r="M18" s="285"/>
      <c r="N18" s="286"/>
      <c r="O18" s="287"/>
      <c r="P18" s="284"/>
      <c r="Q18" s="284"/>
      <c r="R18" s="284"/>
      <c r="S18" s="284"/>
      <c r="T18" s="245"/>
      <c r="U18" s="245"/>
      <c r="V18" s="245"/>
      <c r="W18" s="245"/>
      <c r="X18" s="245"/>
      <c r="Y18" s="245"/>
      <c r="Z18" s="245"/>
      <c r="AA18" s="245"/>
    </row>
    <row r="19">
      <c r="A19" s="288">
        <v>5.0</v>
      </c>
      <c r="B19" s="288" t="s">
        <v>702</v>
      </c>
      <c r="C19" s="289" t="s">
        <v>703</v>
      </c>
      <c r="D19" s="290" t="s">
        <v>704</v>
      </c>
      <c r="E19" s="289" t="s">
        <v>705</v>
      </c>
      <c r="F19" s="288" t="s">
        <v>502</v>
      </c>
      <c r="G19" s="291" t="s">
        <v>706</v>
      </c>
      <c r="H19" s="289" t="s">
        <v>707</v>
      </c>
      <c r="I19" s="175" t="s">
        <v>708</v>
      </c>
      <c r="J19" s="292" t="s">
        <v>709</v>
      </c>
      <c r="K19" s="102" t="s">
        <v>55</v>
      </c>
      <c r="L19" s="140">
        <v>46023.0</v>
      </c>
      <c r="M19" s="140">
        <v>46112.0</v>
      </c>
      <c r="N19" s="141">
        <f>INT(NETWORKDAYS(L19,M19)/5)</f>
        <v>12</v>
      </c>
      <c r="O19" s="293">
        <v>7200.0</v>
      </c>
      <c r="P19" s="110" t="s">
        <v>710</v>
      </c>
      <c r="Q19" s="103" t="s">
        <v>219</v>
      </c>
      <c r="R19" s="110" t="s">
        <v>711</v>
      </c>
      <c r="S19" s="174"/>
      <c r="T19" s="294"/>
      <c r="U19" s="294"/>
      <c r="V19" s="294"/>
      <c r="W19" s="294"/>
      <c r="X19" s="294"/>
      <c r="Y19" s="294"/>
      <c r="Z19" s="294"/>
      <c r="AA19" s="294"/>
    </row>
    <row r="20">
      <c r="A20" s="26"/>
      <c r="B20" s="26"/>
      <c r="C20" s="26"/>
      <c r="D20" s="26"/>
      <c r="E20" s="26"/>
      <c r="F20" s="26"/>
      <c r="G20" s="26"/>
      <c r="H20" s="24"/>
      <c r="I20" s="175" t="s">
        <v>712</v>
      </c>
      <c r="J20" s="292" t="s">
        <v>709</v>
      </c>
      <c r="K20" s="102" t="s">
        <v>55</v>
      </c>
      <c r="L20" s="140">
        <v>46023.0</v>
      </c>
      <c r="M20" s="140">
        <v>46112.0</v>
      </c>
      <c r="N20" s="108">
        <v>12.0</v>
      </c>
      <c r="O20" s="293">
        <v>975.0</v>
      </c>
      <c r="P20" s="42" t="s">
        <v>713</v>
      </c>
      <c r="Q20" s="103" t="s">
        <v>219</v>
      </c>
      <c r="R20" s="110" t="s">
        <v>714</v>
      </c>
      <c r="S20" s="174"/>
      <c r="T20" s="294"/>
      <c r="U20" s="294"/>
      <c r="V20" s="294"/>
      <c r="W20" s="294"/>
      <c r="X20" s="294"/>
      <c r="Y20" s="294"/>
      <c r="Z20" s="294"/>
      <c r="AA20" s="294"/>
    </row>
    <row r="21">
      <c r="A21" s="288">
        <v>6.0</v>
      </c>
      <c r="B21" s="288" t="s">
        <v>715</v>
      </c>
      <c r="C21" s="289" t="s">
        <v>716</v>
      </c>
      <c r="D21" s="289" t="s">
        <v>717</v>
      </c>
      <c r="E21" s="290" t="s">
        <v>718</v>
      </c>
      <c r="F21" s="288" t="s">
        <v>502</v>
      </c>
      <c r="G21" s="291" t="s">
        <v>719</v>
      </c>
      <c r="H21" s="290" t="s">
        <v>720</v>
      </c>
      <c r="I21" s="128" t="s">
        <v>721</v>
      </c>
      <c r="J21" s="292" t="s">
        <v>709</v>
      </c>
      <c r="K21" s="102" t="s">
        <v>55</v>
      </c>
      <c r="L21" s="140">
        <v>46023.0</v>
      </c>
      <c r="M21" s="140">
        <v>46112.0</v>
      </c>
      <c r="N21" s="141">
        <f t="shared" ref="N21:N28" si="2">INT(NETWORKDAYS(L21,M21)/5)</f>
        <v>12</v>
      </c>
      <c r="O21" s="295">
        <v>4500.0</v>
      </c>
      <c r="P21" s="296" t="s">
        <v>722</v>
      </c>
      <c r="Q21" s="128" t="s">
        <v>219</v>
      </c>
      <c r="R21" s="174"/>
      <c r="S21" s="174"/>
      <c r="T21" s="294"/>
      <c r="U21" s="294"/>
      <c r="V21" s="294"/>
      <c r="W21" s="294"/>
      <c r="X21" s="294"/>
      <c r="Y21" s="294"/>
      <c r="Z21" s="294"/>
      <c r="AA21" s="294"/>
    </row>
    <row r="22">
      <c r="A22" s="24"/>
      <c r="B22" s="24"/>
      <c r="C22" s="24"/>
      <c r="D22" s="24"/>
      <c r="E22" s="24"/>
      <c r="F22" s="24"/>
      <c r="G22" s="24"/>
      <c r="H22" s="24"/>
      <c r="I22" s="297" t="s">
        <v>723</v>
      </c>
      <c r="J22" s="298" t="s">
        <v>709</v>
      </c>
      <c r="K22" s="299" t="s">
        <v>55</v>
      </c>
      <c r="L22" s="300">
        <v>46113.0</v>
      </c>
      <c r="M22" s="300">
        <v>46203.0</v>
      </c>
      <c r="N22" s="301">
        <f t="shared" si="2"/>
        <v>13</v>
      </c>
      <c r="O22" s="302">
        <v>10950.0</v>
      </c>
      <c r="P22" s="303" t="s">
        <v>724</v>
      </c>
      <c r="Q22" s="304" t="s">
        <v>219</v>
      </c>
      <c r="R22" s="284"/>
      <c r="S22" s="284"/>
      <c r="T22" s="245"/>
      <c r="U22" s="245"/>
      <c r="V22" s="245"/>
      <c r="W22" s="245"/>
      <c r="X22" s="245"/>
      <c r="Y22" s="245"/>
      <c r="Z22" s="245"/>
      <c r="AA22" s="245"/>
    </row>
    <row r="23">
      <c r="A23" s="26"/>
      <c r="B23" s="26"/>
      <c r="C23" s="26"/>
      <c r="D23" s="26"/>
      <c r="E23" s="26"/>
      <c r="F23" s="26"/>
      <c r="G23" s="26"/>
      <c r="H23" s="26"/>
      <c r="I23" s="297" t="s">
        <v>725</v>
      </c>
      <c r="J23" s="298" t="s">
        <v>709</v>
      </c>
      <c r="K23" s="299" t="s">
        <v>55</v>
      </c>
      <c r="L23" s="300">
        <v>46174.0</v>
      </c>
      <c r="M23" s="300">
        <v>46295.0</v>
      </c>
      <c r="N23" s="301">
        <f t="shared" si="2"/>
        <v>17</v>
      </c>
      <c r="O23" s="305"/>
      <c r="P23" s="304"/>
      <c r="Q23" s="304" t="s">
        <v>219</v>
      </c>
      <c r="R23" s="304" t="s">
        <v>726</v>
      </c>
      <c r="S23" s="284"/>
      <c r="T23" s="245"/>
      <c r="U23" s="245"/>
      <c r="V23" s="245"/>
      <c r="W23" s="245"/>
      <c r="X23" s="245"/>
      <c r="Y23" s="245"/>
      <c r="Z23" s="245"/>
      <c r="AA23" s="245"/>
    </row>
    <row r="24">
      <c r="A24" s="288">
        <v>7.0</v>
      </c>
      <c r="B24" s="288" t="s">
        <v>727</v>
      </c>
      <c r="C24" s="289" t="s">
        <v>728</v>
      </c>
      <c r="D24" s="290" t="s">
        <v>728</v>
      </c>
      <c r="E24" s="290" t="s">
        <v>729</v>
      </c>
      <c r="F24" s="291" t="s">
        <v>730</v>
      </c>
      <c r="G24" s="291" t="s">
        <v>731</v>
      </c>
      <c r="H24" s="290" t="s">
        <v>732</v>
      </c>
      <c r="I24" s="128" t="s">
        <v>721</v>
      </c>
      <c r="J24" s="292" t="s">
        <v>709</v>
      </c>
      <c r="K24" s="102" t="s">
        <v>55</v>
      </c>
      <c r="L24" s="140">
        <v>46023.0</v>
      </c>
      <c r="M24" s="140">
        <v>46112.0</v>
      </c>
      <c r="N24" s="141">
        <f t="shared" si="2"/>
        <v>12</v>
      </c>
      <c r="O24" s="295">
        <v>4500.0</v>
      </c>
      <c r="P24" s="296" t="s">
        <v>733</v>
      </c>
      <c r="Q24" s="128" t="s">
        <v>219</v>
      </c>
      <c r="R24" s="128" t="s">
        <v>734</v>
      </c>
      <c r="S24" s="174"/>
      <c r="T24" s="294"/>
      <c r="U24" s="294"/>
      <c r="V24" s="294"/>
      <c r="W24" s="294"/>
      <c r="X24" s="294"/>
      <c r="Y24" s="294"/>
      <c r="Z24" s="294"/>
      <c r="AA24" s="294"/>
    </row>
    <row r="25">
      <c r="A25" s="24"/>
      <c r="B25" s="24"/>
      <c r="C25" s="24"/>
      <c r="D25" s="24"/>
      <c r="E25" s="24"/>
      <c r="F25" s="24"/>
      <c r="G25" s="24"/>
      <c r="H25" s="24"/>
      <c r="I25" s="297" t="s">
        <v>735</v>
      </c>
      <c r="J25" s="298" t="s">
        <v>709</v>
      </c>
      <c r="K25" s="299" t="s">
        <v>55</v>
      </c>
      <c r="L25" s="300">
        <v>46113.0</v>
      </c>
      <c r="M25" s="300">
        <v>46203.0</v>
      </c>
      <c r="N25" s="301">
        <f t="shared" si="2"/>
        <v>13</v>
      </c>
      <c r="O25" s="302">
        <v>65700.0</v>
      </c>
      <c r="P25" s="303" t="s">
        <v>736</v>
      </c>
      <c r="Q25" s="306" t="s">
        <v>219</v>
      </c>
      <c r="R25" s="307" t="s">
        <v>737</v>
      </c>
      <c r="S25" s="284"/>
      <c r="T25" s="245"/>
      <c r="U25" s="245"/>
      <c r="V25" s="245"/>
      <c r="W25" s="245"/>
      <c r="X25" s="245"/>
      <c r="Y25" s="245"/>
      <c r="Z25" s="245"/>
      <c r="AA25" s="245"/>
    </row>
    <row r="26">
      <c r="A26" s="26"/>
      <c r="B26" s="26"/>
      <c r="C26" s="26"/>
      <c r="D26" s="26"/>
      <c r="E26" s="26"/>
      <c r="F26" s="26"/>
      <c r="G26" s="26"/>
      <c r="H26" s="26"/>
      <c r="I26" s="297" t="s">
        <v>738</v>
      </c>
      <c r="J26" s="298" t="s">
        <v>709</v>
      </c>
      <c r="K26" s="299" t="s">
        <v>55</v>
      </c>
      <c r="L26" s="300">
        <v>46023.0</v>
      </c>
      <c r="M26" s="300">
        <v>46295.0</v>
      </c>
      <c r="N26" s="301">
        <f t="shared" si="2"/>
        <v>39</v>
      </c>
      <c r="O26" s="308"/>
      <c r="P26" s="284"/>
      <c r="Q26" s="306" t="s">
        <v>219</v>
      </c>
      <c r="R26" s="304" t="s">
        <v>739</v>
      </c>
      <c r="S26" s="284"/>
      <c r="T26" s="245"/>
      <c r="U26" s="245"/>
      <c r="V26" s="245"/>
      <c r="W26" s="245"/>
      <c r="X26" s="245"/>
      <c r="Y26" s="245"/>
      <c r="Z26" s="245"/>
      <c r="AA26" s="245"/>
    </row>
    <row r="27" ht="54.0" customHeight="1">
      <c r="A27" s="288">
        <v>8.0</v>
      </c>
      <c r="B27" s="288" t="s">
        <v>740</v>
      </c>
      <c r="C27" s="289" t="s">
        <v>741</v>
      </c>
      <c r="D27" s="290" t="s">
        <v>741</v>
      </c>
      <c r="E27" s="290" t="s">
        <v>742</v>
      </c>
      <c r="F27" s="288" t="s">
        <v>502</v>
      </c>
      <c r="G27" s="291" t="s">
        <v>743</v>
      </c>
      <c r="H27" s="290" t="s">
        <v>744</v>
      </c>
      <c r="I27" s="309" t="s">
        <v>745</v>
      </c>
      <c r="J27" s="292" t="s">
        <v>709</v>
      </c>
      <c r="K27" s="102" t="s">
        <v>55</v>
      </c>
      <c r="L27" s="310">
        <v>46113.0</v>
      </c>
      <c r="M27" s="310">
        <v>46203.0</v>
      </c>
      <c r="N27" s="311">
        <f t="shared" si="2"/>
        <v>13</v>
      </c>
      <c r="O27" s="295">
        <v>7250.0</v>
      </c>
      <c r="P27" s="178" t="s">
        <v>746</v>
      </c>
      <c r="Q27" s="128" t="s">
        <v>219</v>
      </c>
      <c r="R27" s="312" t="s">
        <v>747</v>
      </c>
      <c r="S27" s="174"/>
      <c r="T27" s="294"/>
      <c r="U27" s="294"/>
      <c r="V27" s="294"/>
      <c r="W27" s="294"/>
      <c r="X27" s="294"/>
      <c r="Y27" s="294"/>
      <c r="Z27" s="294"/>
      <c r="AA27" s="294"/>
    </row>
    <row r="28">
      <c r="A28" s="26"/>
      <c r="B28" s="26"/>
      <c r="C28" s="26"/>
      <c r="D28" s="26"/>
      <c r="E28" s="26"/>
      <c r="F28" s="26"/>
      <c r="G28" s="26"/>
      <c r="H28" s="26"/>
      <c r="I28" s="309" t="s">
        <v>748</v>
      </c>
      <c r="J28" s="292" t="s">
        <v>709</v>
      </c>
      <c r="K28" s="102" t="s">
        <v>55</v>
      </c>
      <c r="L28" s="310">
        <v>46174.0</v>
      </c>
      <c r="M28" s="310">
        <v>46295.0</v>
      </c>
      <c r="N28" s="311">
        <f t="shared" si="2"/>
        <v>17</v>
      </c>
      <c r="O28" s="313"/>
      <c r="P28" s="128"/>
      <c r="Q28" s="128" t="s">
        <v>219</v>
      </c>
      <c r="R28" s="26"/>
      <c r="S28" s="174"/>
      <c r="T28" s="294"/>
      <c r="U28" s="294"/>
      <c r="V28" s="294"/>
      <c r="W28" s="294"/>
      <c r="X28" s="294"/>
      <c r="Y28" s="294"/>
      <c r="Z28" s="294"/>
      <c r="AA28" s="294"/>
    </row>
    <row r="29">
      <c r="A29" s="314">
        <v>9.0</v>
      </c>
      <c r="B29" s="314" t="s">
        <v>749</v>
      </c>
      <c r="C29" s="175" t="s">
        <v>750</v>
      </c>
      <c r="D29" s="128" t="s">
        <v>751</v>
      </c>
      <c r="E29" s="174"/>
      <c r="F29" s="314" t="s">
        <v>502</v>
      </c>
      <c r="G29" s="314" t="s">
        <v>752</v>
      </c>
      <c r="H29" s="175" t="s">
        <v>753</v>
      </c>
      <c r="I29" s="128" t="s">
        <v>754</v>
      </c>
      <c r="J29" s="102" t="s">
        <v>583</v>
      </c>
      <c r="K29" s="315"/>
      <c r="L29" s="310"/>
      <c r="M29" s="310"/>
      <c r="N29" s="311"/>
      <c r="O29" s="313"/>
      <c r="P29" s="128"/>
      <c r="Q29" s="128" t="s">
        <v>755</v>
      </c>
      <c r="R29" s="128" t="s">
        <v>756</v>
      </c>
      <c r="S29" s="174"/>
      <c r="T29" s="294"/>
      <c r="U29" s="294"/>
      <c r="V29" s="294"/>
      <c r="W29" s="294"/>
      <c r="X29" s="294"/>
      <c r="Y29" s="294"/>
      <c r="Z29" s="294"/>
      <c r="AA29" s="294"/>
    </row>
    <row r="30">
      <c r="A30" s="288">
        <v>10.0</v>
      </c>
      <c r="B30" s="288" t="s">
        <v>757</v>
      </c>
      <c r="C30" s="289" t="s">
        <v>758</v>
      </c>
      <c r="D30" s="289" t="s">
        <v>759</v>
      </c>
      <c r="E30" s="290" t="s">
        <v>760</v>
      </c>
      <c r="F30" s="288" t="s">
        <v>502</v>
      </c>
      <c r="G30" s="291" t="s">
        <v>761</v>
      </c>
      <c r="H30" s="289" t="s">
        <v>762</v>
      </c>
      <c r="I30" s="103" t="s">
        <v>763</v>
      </c>
      <c r="J30" s="102" t="s">
        <v>709</v>
      </c>
      <c r="K30" s="102" t="s">
        <v>55</v>
      </c>
      <c r="L30" s="140">
        <v>46113.0</v>
      </c>
      <c r="M30" s="140">
        <v>46203.0</v>
      </c>
      <c r="N30" s="141">
        <f t="shared" ref="N30:N31" si="3">INT(NETWORKDAYS(L30,M30)/5)</f>
        <v>13</v>
      </c>
      <c r="O30" s="295">
        <v>7250.0</v>
      </c>
      <c r="P30" s="178" t="s">
        <v>764</v>
      </c>
      <c r="Q30" s="128" t="s">
        <v>219</v>
      </c>
      <c r="R30" s="128" t="s">
        <v>765</v>
      </c>
      <c r="S30" s="174"/>
      <c r="T30" s="294"/>
      <c r="U30" s="294"/>
      <c r="V30" s="294"/>
      <c r="W30" s="294"/>
      <c r="X30" s="294"/>
      <c r="Y30" s="294"/>
      <c r="Z30" s="294"/>
      <c r="AA30" s="294"/>
    </row>
    <row r="31" ht="59.25" customHeight="1">
      <c r="A31" s="26"/>
      <c r="B31" s="26"/>
      <c r="C31" s="26"/>
      <c r="D31" s="26"/>
      <c r="E31" s="26"/>
      <c r="F31" s="26"/>
      <c r="G31" s="26"/>
      <c r="H31" s="26"/>
      <c r="I31" s="306" t="s">
        <v>766</v>
      </c>
      <c r="J31" s="299" t="s">
        <v>709</v>
      </c>
      <c r="K31" s="299" t="s">
        <v>55</v>
      </c>
      <c r="L31" s="300">
        <v>46204.0</v>
      </c>
      <c r="M31" s="316">
        <v>46356.0</v>
      </c>
      <c r="N31" s="301">
        <f t="shared" si="3"/>
        <v>21</v>
      </c>
      <c r="O31" s="302">
        <v>18000.0</v>
      </c>
      <c r="P31" s="297" t="s">
        <v>767</v>
      </c>
      <c r="Q31" s="304" t="s">
        <v>219</v>
      </c>
      <c r="R31" s="317" t="s">
        <v>768</v>
      </c>
      <c r="S31" s="284"/>
      <c r="T31" s="245"/>
      <c r="U31" s="245"/>
      <c r="V31" s="245"/>
      <c r="W31" s="245"/>
      <c r="X31" s="245"/>
      <c r="Y31" s="245"/>
      <c r="Z31" s="245"/>
      <c r="AA31" s="245"/>
    </row>
    <row r="32">
      <c r="A32" s="283"/>
      <c r="B32" s="284"/>
      <c r="C32" s="284"/>
      <c r="D32" s="284"/>
      <c r="E32" s="284"/>
      <c r="F32" s="284"/>
      <c r="G32" s="284"/>
      <c r="H32" s="284"/>
      <c r="I32" s="284"/>
      <c r="J32" s="284"/>
      <c r="K32" s="284"/>
      <c r="L32" s="285"/>
      <c r="M32" s="285"/>
      <c r="N32" s="286"/>
      <c r="O32" s="287"/>
      <c r="P32" s="284"/>
      <c r="Q32" s="284"/>
      <c r="R32" s="284"/>
      <c r="S32" s="284"/>
      <c r="T32" s="245"/>
      <c r="U32" s="245"/>
      <c r="V32" s="245"/>
      <c r="W32" s="245"/>
      <c r="X32" s="245"/>
      <c r="Y32" s="245"/>
      <c r="Z32" s="245"/>
      <c r="AA32" s="245"/>
    </row>
    <row r="33">
      <c r="A33" s="288">
        <v>11.0</v>
      </c>
      <c r="B33" s="288" t="s">
        <v>769</v>
      </c>
      <c r="C33" s="289" t="s">
        <v>770</v>
      </c>
      <c r="D33" s="290" t="s">
        <v>771</v>
      </c>
      <c r="E33" s="167" t="s">
        <v>772</v>
      </c>
      <c r="F33" s="289" t="s">
        <v>138</v>
      </c>
      <c r="G33" s="288" t="s">
        <v>773</v>
      </c>
      <c r="H33" s="290" t="s">
        <v>774</v>
      </c>
      <c r="I33" s="128" t="s">
        <v>775</v>
      </c>
      <c r="J33" s="318" t="s">
        <v>776</v>
      </c>
      <c r="K33" s="319" t="s">
        <v>41</v>
      </c>
      <c r="L33" s="129">
        <v>46023.0</v>
      </c>
      <c r="M33" s="129">
        <v>46387.0</v>
      </c>
      <c r="N33" s="130">
        <f t="shared" ref="N33:N34" si="4">INT(NETWORKDAYS(L33,M33)/5)</f>
        <v>52</v>
      </c>
      <c r="O33" s="313">
        <v>8400000.0</v>
      </c>
      <c r="P33" s="128" t="s">
        <v>777</v>
      </c>
      <c r="Q33" s="128" t="s">
        <v>89</v>
      </c>
      <c r="R33" s="174"/>
      <c r="S33" s="174"/>
      <c r="T33" s="294"/>
      <c r="U33" s="294"/>
      <c r="V33" s="294"/>
      <c r="W33" s="294"/>
      <c r="X33" s="294"/>
      <c r="Y33" s="294"/>
      <c r="Z33" s="294"/>
      <c r="AA33" s="294"/>
    </row>
    <row r="34">
      <c r="A34" s="24"/>
      <c r="B34" s="24"/>
      <c r="C34" s="24"/>
      <c r="D34" s="24"/>
      <c r="E34" s="24"/>
      <c r="F34" s="24"/>
      <c r="G34" s="24"/>
      <c r="H34" s="24"/>
      <c r="I34" s="175" t="s">
        <v>778</v>
      </c>
      <c r="J34" s="318" t="s">
        <v>776</v>
      </c>
      <c r="K34" s="319" t="s">
        <v>41</v>
      </c>
      <c r="L34" s="129">
        <v>46023.0</v>
      </c>
      <c r="M34" s="129">
        <v>46387.0</v>
      </c>
      <c r="N34" s="130">
        <f t="shared" si="4"/>
        <v>52</v>
      </c>
      <c r="O34" s="313">
        <v>97200.0</v>
      </c>
      <c r="P34" s="320" t="s">
        <v>779</v>
      </c>
      <c r="Q34" s="174"/>
      <c r="R34" s="174"/>
      <c r="S34" s="174"/>
      <c r="T34" s="294"/>
      <c r="U34" s="294"/>
      <c r="V34" s="294"/>
      <c r="W34" s="294"/>
      <c r="X34" s="294"/>
      <c r="Y34" s="294"/>
      <c r="Z34" s="294"/>
      <c r="AA34" s="294"/>
    </row>
    <row r="35">
      <c r="A35" s="26"/>
      <c r="B35" s="26"/>
      <c r="C35" s="26"/>
      <c r="D35" s="26"/>
      <c r="E35" s="26"/>
      <c r="F35" s="26"/>
      <c r="G35" s="26"/>
      <c r="H35" s="26"/>
      <c r="I35" s="175" t="s">
        <v>780</v>
      </c>
      <c r="J35" s="318" t="s">
        <v>776</v>
      </c>
      <c r="K35" s="319" t="s">
        <v>41</v>
      </c>
      <c r="L35" s="129"/>
      <c r="M35" s="129"/>
      <c r="N35" s="130"/>
      <c r="O35" s="313"/>
      <c r="P35" s="320"/>
      <c r="Q35" s="174"/>
      <c r="R35" s="174"/>
      <c r="S35" s="174"/>
      <c r="T35" s="294"/>
      <c r="U35" s="294"/>
      <c r="V35" s="294"/>
      <c r="W35" s="294"/>
      <c r="X35" s="294"/>
      <c r="Y35" s="294"/>
      <c r="Z35" s="294"/>
      <c r="AA35" s="294"/>
    </row>
    <row r="36">
      <c r="A36" s="283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5"/>
      <c r="M36" s="285"/>
      <c r="N36" s="286"/>
      <c r="O36" s="287"/>
      <c r="P36" s="284"/>
      <c r="Q36" s="284"/>
      <c r="R36" s="284"/>
      <c r="S36" s="284"/>
      <c r="T36" s="245"/>
      <c r="U36" s="245"/>
      <c r="V36" s="245"/>
      <c r="W36" s="245"/>
      <c r="X36" s="245"/>
      <c r="Y36" s="245"/>
      <c r="Z36" s="245"/>
      <c r="AA36" s="245"/>
    </row>
    <row r="37">
      <c r="A37" s="288">
        <v>12.0</v>
      </c>
      <c r="B37" s="288" t="s">
        <v>781</v>
      </c>
      <c r="C37" s="289" t="s">
        <v>782</v>
      </c>
      <c r="D37" s="289" t="s">
        <v>783</v>
      </c>
      <c r="E37" s="289" t="s">
        <v>783</v>
      </c>
      <c r="F37" s="289" t="s">
        <v>784</v>
      </c>
      <c r="G37" s="288" t="s">
        <v>785</v>
      </c>
      <c r="H37" s="289" t="s">
        <v>786</v>
      </c>
      <c r="I37" s="128" t="s">
        <v>787</v>
      </c>
      <c r="J37" s="288" t="s">
        <v>788</v>
      </c>
      <c r="K37" s="288" t="s">
        <v>789</v>
      </c>
      <c r="L37" s="310">
        <v>46023.0</v>
      </c>
      <c r="M37" s="310">
        <v>46387.0</v>
      </c>
      <c r="N37" s="130">
        <f t="shared" ref="N37:N38" si="5">INT(NETWORKDAYS(L37,M37)/5)</f>
        <v>52</v>
      </c>
      <c r="O37" s="321" t="s">
        <v>790</v>
      </c>
      <c r="P37" s="322" t="s">
        <v>791</v>
      </c>
      <c r="Q37" s="323" t="s">
        <v>792</v>
      </c>
      <c r="R37" s="324"/>
      <c r="S37" s="324"/>
      <c r="T37" s="294"/>
      <c r="U37" s="294"/>
      <c r="V37" s="294"/>
      <c r="W37" s="294"/>
      <c r="X37" s="294"/>
      <c r="Y37" s="294"/>
      <c r="Z37" s="294"/>
      <c r="AA37" s="294"/>
    </row>
    <row r="38">
      <c r="A38" s="26"/>
      <c r="B38" s="26"/>
      <c r="C38" s="26"/>
      <c r="D38" s="26"/>
      <c r="E38" s="26"/>
      <c r="F38" s="26"/>
      <c r="G38" s="26"/>
      <c r="H38" s="26"/>
      <c r="I38" s="304" t="s">
        <v>793</v>
      </c>
      <c r="J38" s="26"/>
      <c r="K38" s="26"/>
      <c r="L38" s="325">
        <v>46023.0</v>
      </c>
      <c r="M38" s="325">
        <v>46387.0</v>
      </c>
      <c r="N38" s="326">
        <f t="shared" si="5"/>
        <v>52</v>
      </c>
      <c r="O38" s="26"/>
      <c r="P38" s="26"/>
      <c r="Q38" s="26"/>
      <c r="R38" s="26"/>
      <c r="S38" s="26"/>
      <c r="T38" s="245"/>
      <c r="U38" s="245"/>
      <c r="V38" s="245"/>
      <c r="W38" s="245"/>
      <c r="X38" s="245"/>
      <c r="Y38" s="245"/>
      <c r="Z38" s="245"/>
      <c r="AA38" s="245"/>
    </row>
    <row r="39">
      <c r="A39" s="283"/>
      <c r="B39" s="284"/>
      <c r="C39" s="284"/>
      <c r="D39" s="284"/>
      <c r="E39" s="284"/>
      <c r="F39" s="284"/>
      <c r="G39" s="284"/>
      <c r="H39" s="284"/>
      <c r="I39" s="284"/>
      <c r="J39" s="284"/>
      <c r="K39" s="284"/>
      <c r="L39" s="285"/>
      <c r="M39" s="285"/>
      <c r="N39" s="286"/>
      <c r="O39" s="287"/>
      <c r="P39" s="284"/>
      <c r="Q39" s="284"/>
      <c r="R39" s="284"/>
      <c r="S39" s="284"/>
      <c r="T39" s="245"/>
      <c r="U39" s="245"/>
      <c r="V39" s="245"/>
      <c r="W39" s="245"/>
      <c r="X39" s="245"/>
      <c r="Y39" s="245"/>
      <c r="Z39" s="245"/>
      <c r="AA39" s="245"/>
    </row>
    <row r="40">
      <c r="A40" s="288">
        <v>13.0</v>
      </c>
      <c r="B40" s="288" t="s">
        <v>794</v>
      </c>
      <c r="C40" s="289" t="s">
        <v>795</v>
      </c>
      <c r="D40" s="289" t="s">
        <v>796</v>
      </c>
      <c r="E40" s="324"/>
      <c r="F40" s="327" t="s">
        <v>797</v>
      </c>
      <c r="G40" s="328" t="s">
        <v>798</v>
      </c>
      <c r="H40" s="329" t="s">
        <v>799</v>
      </c>
      <c r="I40" s="128" t="s">
        <v>800</v>
      </c>
      <c r="J40" s="314" t="s">
        <v>801</v>
      </c>
      <c r="K40" s="314" t="s">
        <v>802</v>
      </c>
      <c r="L40" s="129">
        <v>46023.0</v>
      </c>
      <c r="M40" s="129">
        <v>46387.0</v>
      </c>
      <c r="N40" s="130">
        <f t="shared" ref="N40:N41" si="6">INT(NETWORKDAYS(L40,M40)/5)</f>
        <v>52</v>
      </c>
      <c r="O40" s="320" t="s">
        <v>803</v>
      </c>
      <c r="P40" s="314" t="s">
        <v>804</v>
      </c>
      <c r="Q40" s="174"/>
      <c r="R40" s="174"/>
      <c r="S40" s="174"/>
      <c r="T40" s="294"/>
      <c r="U40" s="294"/>
      <c r="V40" s="294"/>
      <c r="W40" s="294"/>
      <c r="X40" s="294"/>
      <c r="Y40" s="294"/>
      <c r="Z40" s="294"/>
      <c r="AA40" s="294"/>
    </row>
    <row r="41">
      <c r="A41" s="26"/>
      <c r="B41" s="26"/>
      <c r="C41" s="26"/>
      <c r="D41" s="26"/>
      <c r="E41" s="26"/>
      <c r="F41" s="26"/>
      <c r="G41" s="26"/>
      <c r="H41" s="329" t="s">
        <v>805</v>
      </c>
      <c r="I41" s="128" t="s">
        <v>806</v>
      </c>
      <c r="J41" s="314" t="s">
        <v>801</v>
      </c>
      <c r="K41" s="314" t="s">
        <v>802</v>
      </c>
      <c r="L41" s="129">
        <v>46023.0</v>
      </c>
      <c r="M41" s="129">
        <v>46387.0</v>
      </c>
      <c r="N41" s="130">
        <f t="shared" si="6"/>
        <v>52</v>
      </c>
      <c r="O41" s="320" t="s">
        <v>807</v>
      </c>
      <c r="P41" s="330" t="s">
        <v>808</v>
      </c>
      <c r="Q41" s="174"/>
      <c r="R41" s="174"/>
      <c r="S41" s="174"/>
      <c r="T41" s="294"/>
      <c r="U41" s="294"/>
      <c r="V41" s="294"/>
      <c r="W41" s="294"/>
      <c r="X41" s="294"/>
      <c r="Y41" s="294"/>
      <c r="Z41" s="294"/>
      <c r="AA41" s="294"/>
    </row>
    <row r="42">
      <c r="A42" s="174"/>
      <c r="B42" s="174"/>
      <c r="C42" s="174"/>
      <c r="D42" s="331" t="s">
        <v>809</v>
      </c>
      <c r="E42" s="332" t="s">
        <v>810</v>
      </c>
      <c r="F42" s="333"/>
      <c r="G42" s="334" t="s">
        <v>811</v>
      </c>
      <c r="H42" s="178" t="s">
        <v>812</v>
      </c>
      <c r="I42" s="332" t="s">
        <v>813</v>
      </c>
      <c r="J42" s="319" t="s">
        <v>814</v>
      </c>
      <c r="K42" s="319" t="s">
        <v>41</v>
      </c>
      <c r="L42" s="335">
        <v>46113.0</v>
      </c>
      <c r="M42" s="336">
        <v>46234.0</v>
      </c>
      <c r="N42" s="337">
        <v>32.0</v>
      </c>
      <c r="O42" s="338"/>
      <c r="P42" s="174"/>
      <c r="Q42" s="174"/>
      <c r="R42" s="174"/>
      <c r="S42" s="174"/>
      <c r="T42" s="294"/>
      <c r="U42" s="294"/>
      <c r="V42" s="294"/>
      <c r="W42" s="294"/>
      <c r="X42" s="294"/>
      <c r="Y42" s="294"/>
      <c r="Z42" s="294"/>
      <c r="AA42" s="294"/>
    </row>
    <row r="43">
      <c r="A43" s="314">
        <v>13.0</v>
      </c>
      <c r="B43" s="174"/>
      <c r="C43" s="174"/>
      <c r="D43" s="339" t="s">
        <v>815</v>
      </c>
      <c r="E43" s="174"/>
      <c r="F43" s="174"/>
      <c r="G43" s="174"/>
      <c r="H43" s="174"/>
      <c r="I43" s="174"/>
      <c r="J43" s="174"/>
      <c r="K43" s="174"/>
      <c r="L43" s="129">
        <v>46023.0</v>
      </c>
      <c r="M43" s="129">
        <v>46387.0</v>
      </c>
      <c r="N43" s="130">
        <f t="shared" ref="N43:N50" si="7">INT(NETWORKDAYS(L43,M43)/5)</f>
        <v>52</v>
      </c>
      <c r="O43" s="338"/>
      <c r="P43" s="174"/>
      <c r="Q43" s="174"/>
      <c r="R43" s="174"/>
      <c r="S43" s="174"/>
      <c r="T43" s="294"/>
      <c r="U43" s="294"/>
      <c r="V43" s="294"/>
      <c r="W43" s="294"/>
      <c r="X43" s="294"/>
      <c r="Y43" s="294"/>
      <c r="Z43" s="294"/>
      <c r="AA43" s="294"/>
    </row>
    <row r="44">
      <c r="A44" s="314">
        <v>14.0</v>
      </c>
      <c r="B44" s="174"/>
      <c r="C44" s="174"/>
      <c r="D44" s="340" t="s">
        <v>816</v>
      </c>
      <c r="E44" s="174"/>
      <c r="F44" s="174"/>
      <c r="G44" s="174"/>
      <c r="H44" s="174"/>
      <c r="I44" s="174"/>
      <c r="J44" s="174"/>
      <c r="K44" s="174"/>
      <c r="L44" s="129">
        <v>46023.0</v>
      </c>
      <c r="M44" s="129">
        <v>46387.0</v>
      </c>
      <c r="N44" s="130">
        <f t="shared" si="7"/>
        <v>52</v>
      </c>
      <c r="O44" s="338"/>
      <c r="P44" s="174"/>
      <c r="Q44" s="174"/>
      <c r="R44" s="174"/>
      <c r="S44" s="174"/>
      <c r="T44" s="294"/>
      <c r="U44" s="294"/>
      <c r="V44" s="294"/>
      <c r="W44" s="294"/>
      <c r="X44" s="294"/>
      <c r="Y44" s="294"/>
      <c r="Z44" s="294"/>
      <c r="AA44" s="294"/>
    </row>
    <row r="45">
      <c r="A45" s="314">
        <v>15.0</v>
      </c>
      <c r="B45" s="174"/>
      <c r="C45" s="174"/>
      <c r="D45" s="340" t="s">
        <v>817</v>
      </c>
      <c r="E45" s="174"/>
      <c r="F45" s="174"/>
      <c r="G45" s="174"/>
      <c r="H45" s="174"/>
      <c r="I45" s="174"/>
      <c r="J45" s="174"/>
      <c r="K45" s="174"/>
      <c r="L45" s="129">
        <v>46023.0</v>
      </c>
      <c r="M45" s="129">
        <v>46387.0</v>
      </c>
      <c r="N45" s="130">
        <f t="shared" si="7"/>
        <v>52</v>
      </c>
      <c r="O45" s="338"/>
      <c r="P45" s="174"/>
      <c r="Q45" s="174"/>
      <c r="R45" s="174"/>
      <c r="S45" s="174"/>
      <c r="T45" s="294"/>
      <c r="U45" s="294"/>
      <c r="V45" s="294"/>
      <c r="W45" s="294"/>
      <c r="X45" s="294"/>
      <c r="Y45" s="294"/>
      <c r="Z45" s="294"/>
      <c r="AA45" s="294"/>
    </row>
    <row r="46">
      <c r="A46" s="314">
        <v>16.0</v>
      </c>
      <c r="B46" s="174"/>
      <c r="C46" s="174"/>
      <c r="D46" s="341" t="s">
        <v>818</v>
      </c>
      <c r="E46" s="174"/>
      <c r="F46" s="174"/>
      <c r="G46" s="174"/>
      <c r="H46" s="174"/>
      <c r="I46" s="174"/>
      <c r="J46" s="174"/>
      <c r="K46" s="174"/>
      <c r="L46" s="129">
        <v>46023.0</v>
      </c>
      <c r="M46" s="129">
        <v>46387.0</v>
      </c>
      <c r="N46" s="130">
        <f t="shared" si="7"/>
        <v>52</v>
      </c>
      <c r="O46" s="338"/>
      <c r="P46" s="174"/>
      <c r="Q46" s="174"/>
      <c r="R46" s="174"/>
      <c r="S46" s="174"/>
      <c r="T46" s="294"/>
      <c r="U46" s="294"/>
      <c r="V46" s="294"/>
      <c r="W46" s="294"/>
      <c r="X46" s="294"/>
      <c r="Y46" s="294"/>
      <c r="Z46" s="294"/>
      <c r="AA46" s="294"/>
    </row>
    <row r="47">
      <c r="A47" s="314">
        <v>17.0</v>
      </c>
      <c r="B47" s="174"/>
      <c r="C47" s="174"/>
      <c r="D47" s="342" t="s">
        <v>819</v>
      </c>
      <c r="E47" s="174"/>
      <c r="F47" s="174"/>
      <c r="G47" s="174"/>
      <c r="H47" s="174"/>
      <c r="I47" s="174"/>
      <c r="J47" s="174"/>
      <c r="K47" s="174"/>
      <c r="L47" s="129">
        <v>46023.0</v>
      </c>
      <c r="M47" s="129">
        <v>46387.0</v>
      </c>
      <c r="N47" s="130">
        <f t="shared" si="7"/>
        <v>52</v>
      </c>
      <c r="O47" s="338"/>
      <c r="P47" s="174"/>
      <c r="Q47" s="174"/>
      <c r="R47" s="174"/>
      <c r="S47" s="174"/>
      <c r="T47" s="294"/>
      <c r="U47" s="294"/>
      <c r="V47" s="294"/>
      <c r="W47" s="294"/>
      <c r="X47" s="294"/>
      <c r="Y47" s="294"/>
      <c r="Z47" s="294"/>
      <c r="AA47" s="294"/>
    </row>
    <row r="48">
      <c r="A48" s="314">
        <v>18.0</v>
      </c>
      <c r="B48" s="174"/>
      <c r="C48" s="174"/>
      <c r="D48" s="342" t="s">
        <v>820</v>
      </c>
      <c r="E48" s="174"/>
      <c r="F48" s="174"/>
      <c r="G48" s="174"/>
      <c r="H48" s="174"/>
      <c r="I48" s="174"/>
      <c r="J48" s="174"/>
      <c r="K48" s="174"/>
      <c r="L48" s="129">
        <v>46023.0</v>
      </c>
      <c r="M48" s="129">
        <v>46387.0</v>
      </c>
      <c r="N48" s="130">
        <f t="shared" si="7"/>
        <v>52</v>
      </c>
      <c r="O48" s="338"/>
      <c r="P48" s="174"/>
      <c r="Q48" s="174"/>
      <c r="R48" s="174"/>
      <c r="S48" s="174"/>
      <c r="T48" s="294"/>
      <c r="U48" s="294"/>
      <c r="V48" s="294"/>
      <c r="W48" s="294"/>
      <c r="X48" s="294"/>
      <c r="Y48" s="294"/>
      <c r="Z48" s="294"/>
      <c r="AA48" s="294"/>
    </row>
    <row r="49">
      <c r="A49" s="314">
        <v>19.0</v>
      </c>
      <c r="B49" s="174"/>
      <c r="C49" s="174"/>
      <c r="D49" s="342" t="s">
        <v>821</v>
      </c>
      <c r="E49" s="174"/>
      <c r="F49" s="174"/>
      <c r="G49" s="174"/>
      <c r="H49" s="174"/>
      <c r="I49" s="174"/>
      <c r="J49" s="174"/>
      <c r="K49" s="174"/>
      <c r="L49" s="129">
        <v>46023.0</v>
      </c>
      <c r="M49" s="129">
        <v>46387.0</v>
      </c>
      <c r="N49" s="130">
        <f t="shared" si="7"/>
        <v>52</v>
      </c>
      <c r="O49" s="338"/>
      <c r="P49" s="174"/>
      <c r="Q49" s="174"/>
      <c r="R49" s="174"/>
      <c r="S49" s="174"/>
      <c r="T49" s="294"/>
      <c r="U49" s="294"/>
      <c r="V49" s="294"/>
      <c r="W49" s="294"/>
      <c r="X49" s="294"/>
      <c r="Y49" s="294"/>
      <c r="Z49" s="294"/>
      <c r="AA49" s="294"/>
    </row>
    <row r="50">
      <c r="A50" s="343">
        <v>20.0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344">
        <v>46023.0</v>
      </c>
      <c r="M50" s="344">
        <v>46387.0</v>
      </c>
      <c r="N50" s="326">
        <f t="shared" si="7"/>
        <v>52</v>
      </c>
      <c r="O50" s="287"/>
      <c r="P50" s="284"/>
      <c r="Q50" s="284"/>
      <c r="R50" s="284"/>
      <c r="S50" s="284"/>
      <c r="T50" s="245"/>
      <c r="U50" s="245"/>
      <c r="V50" s="245"/>
      <c r="W50" s="245"/>
      <c r="X50" s="245"/>
      <c r="Y50" s="245"/>
      <c r="Z50" s="245"/>
      <c r="AA50" s="245"/>
    </row>
    <row r="51">
      <c r="A51" s="245"/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</row>
    <row r="52">
      <c r="A52" s="245"/>
      <c r="B52" s="345" t="s">
        <v>106</v>
      </c>
      <c r="C52" s="244"/>
      <c r="D52" s="345" t="s">
        <v>107</v>
      </c>
      <c r="E52" s="3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</row>
    <row r="53">
      <c r="A53" s="245"/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</row>
    <row r="54">
      <c r="A54" s="245"/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</row>
    <row r="55">
      <c r="A55" s="245"/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</row>
    <row r="56">
      <c r="A56" s="245"/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</row>
    <row r="57">
      <c r="A57" s="245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</row>
    <row r="58">
      <c r="A58" s="245"/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</row>
    <row r="59">
      <c r="A59" s="245"/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</row>
    <row r="60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</row>
    <row r="61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</row>
    <row r="62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</row>
    <row r="63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</row>
    <row r="64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</row>
    <row r="65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</row>
    <row r="66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</row>
    <row r="67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</row>
    <row r="68">
      <c r="A68" s="245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</row>
    <row r="69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</row>
    <row r="70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</row>
    <row r="71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</row>
    <row r="72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</row>
    <row r="73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</row>
    <row r="74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</row>
    <row r="75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</row>
    <row r="76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</row>
    <row r="77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</row>
    <row r="78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</row>
    <row r="79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</row>
    <row r="80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</row>
    <row r="81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</row>
    <row r="82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</row>
    <row r="83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</row>
    <row r="84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</row>
    <row r="85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</row>
    <row r="86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</row>
    <row r="87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</row>
    <row r="88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</row>
    <row r="89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</row>
    <row r="90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</row>
    <row r="91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</row>
    <row r="92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</row>
    <row r="93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</row>
    <row r="94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</row>
    <row r="95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</row>
    <row r="96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</row>
    <row r="97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</row>
    <row r="98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</row>
    <row r="99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</row>
    <row r="100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</row>
    <row r="101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</row>
    <row r="102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</row>
    <row r="103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</row>
    <row r="104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</row>
    <row r="105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</row>
    <row r="106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</row>
    <row r="107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</row>
    <row r="108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</row>
    <row r="109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</row>
    <row r="110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</row>
    <row r="111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</row>
    <row r="112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</row>
    <row r="113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</row>
    <row r="114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</row>
    <row r="115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</row>
    <row r="116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</row>
    <row r="117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</row>
    <row r="118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</row>
    <row r="119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</row>
    <row r="120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</row>
    <row r="121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</row>
    <row r="122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</row>
    <row r="123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</row>
    <row r="124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</row>
    <row r="125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</row>
    <row r="126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</row>
    <row r="127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</row>
    <row r="128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</row>
    <row r="129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</row>
    <row r="130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</row>
    <row r="131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</row>
    <row r="132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</row>
    <row r="133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</row>
    <row r="134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</row>
    <row r="135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</row>
    <row r="136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</row>
    <row r="137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</row>
    <row r="138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</row>
    <row r="139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</row>
    <row r="140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</row>
    <row r="141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</row>
    <row r="142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</row>
    <row r="143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</row>
    <row r="144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</row>
    <row r="145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</row>
    <row r="146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</row>
    <row r="147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</row>
    <row r="148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</row>
    <row r="149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</row>
    <row r="150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</row>
    <row r="151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</row>
    <row r="152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</row>
    <row r="153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</row>
    <row r="154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</row>
    <row r="155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</row>
    <row r="156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</row>
    <row r="157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</row>
    <row r="158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</row>
    <row r="159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</row>
    <row r="160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</row>
    <row r="161">
      <c r="A161" s="245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</row>
    <row r="162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</row>
    <row r="163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</row>
    <row r="164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</row>
    <row r="165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</row>
    <row r="166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</row>
    <row r="167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</row>
    <row r="168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</row>
    <row r="169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</row>
    <row r="170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</row>
    <row r="171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</row>
    <row r="172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</row>
    <row r="173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</row>
    <row r="174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</row>
    <row r="175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</row>
    <row r="176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</row>
    <row r="177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</row>
    <row r="178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</row>
    <row r="179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</row>
    <row r="180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</row>
    <row r="181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</row>
    <row r="182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</row>
    <row r="183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</row>
    <row r="184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</row>
    <row r="185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</row>
    <row r="186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</row>
    <row r="187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</row>
    <row r="188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</row>
    <row r="189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</row>
    <row r="190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</row>
    <row r="191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</row>
    <row r="192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</row>
    <row r="193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</row>
    <row r="194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</row>
    <row r="195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</row>
    <row r="196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</row>
    <row r="197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</row>
    <row r="198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</row>
    <row r="199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</row>
    <row r="200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</row>
    <row r="201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</row>
    <row r="202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</row>
    <row r="203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</row>
    <row r="204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</row>
    <row r="205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</row>
    <row r="206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</row>
    <row r="207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</row>
    <row r="208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</row>
    <row r="209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</row>
    <row r="210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</row>
    <row r="211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</row>
    <row r="212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</row>
    <row r="213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</row>
    <row r="214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</row>
    <row r="215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</row>
    <row r="216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</row>
    <row r="217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</row>
    <row r="218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</row>
    <row r="219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</row>
    <row r="220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</row>
    <row r="221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</row>
    <row r="222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</row>
    <row r="223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</row>
    <row r="224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</row>
    <row r="225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</row>
    <row r="226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</row>
    <row r="227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</row>
    <row r="228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</row>
    <row r="229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</row>
    <row r="230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</row>
    <row r="231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</row>
    <row r="232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</row>
    <row r="233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</row>
    <row r="234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</row>
    <row r="235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</row>
    <row r="236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</row>
    <row r="237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</row>
    <row r="238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</row>
    <row r="239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</row>
    <row r="240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</row>
    <row r="24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</row>
    <row r="242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</row>
    <row r="243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</row>
    <row r="244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</row>
    <row r="245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</row>
    <row r="246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</row>
    <row r="247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</row>
    <row r="248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</row>
    <row r="249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</row>
    <row r="250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</row>
    <row r="25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</row>
    <row r="252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</row>
    <row r="253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</row>
    <row r="254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</row>
    <row r="255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</row>
    <row r="256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</row>
    <row r="257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</row>
    <row r="258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</row>
    <row r="259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</row>
    <row r="260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</row>
    <row r="26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</row>
    <row r="262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</row>
    <row r="263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</row>
    <row r="264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</row>
    <row r="265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</row>
    <row r="266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</row>
    <row r="267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</row>
    <row r="268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</row>
    <row r="269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</row>
    <row r="270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</row>
    <row r="27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</row>
    <row r="272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</row>
    <row r="273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</row>
    <row r="274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</row>
    <row r="275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</row>
    <row r="276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</row>
    <row r="277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</row>
    <row r="278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</row>
    <row r="279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</row>
    <row r="280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</row>
    <row r="28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</row>
    <row r="282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</row>
    <row r="283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</row>
    <row r="284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</row>
    <row r="285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</row>
    <row r="286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</row>
    <row r="287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</row>
    <row r="288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</row>
    <row r="289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</row>
    <row r="290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</row>
    <row r="29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</row>
    <row r="292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</row>
    <row r="293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</row>
    <row r="294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</row>
    <row r="295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</row>
    <row r="296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</row>
    <row r="297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</row>
    <row r="298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</row>
    <row r="299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</row>
    <row r="300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</row>
    <row r="30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</row>
    <row r="302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</row>
    <row r="303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</row>
    <row r="304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</row>
    <row r="305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</row>
    <row r="306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</row>
    <row r="307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</row>
    <row r="308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</row>
    <row r="309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</row>
    <row r="310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</row>
    <row r="31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</row>
    <row r="312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</row>
    <row r="313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</row>
    <row r="314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</row>
    <row r="315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</row>
    <row r="316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</row>
    <row r="317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</row>
    <row r="318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</row>
    <row r="319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</row>
    <row r="320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</row>
    <row r="32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</row>
    <row r="322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</row>
    <row r="323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</row>
    <row r="324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</row>
    <row r="325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</row>
    <row r="326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</row>
    <row r="327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</row>
    <row r="328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</row>
    <row r="329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</row>
    <row r="330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</row>
    <row r="33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</row>
    <row r="332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</row>
    <row r="333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</row>
    <row r="334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</row>
    <row r="335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</row>
    <row r="336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</row>
    <row r="337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</row>
    <row r="338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</row>
    <row r="339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</row>
    <row r="340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</row>
    <row r="34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</row>
    <row r="342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</row>
    <row r="343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</row>
    <row r="344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</row>
    <row r="345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</row>
    <row r="346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</row>
    <row r="347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</row>
    <row r="348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</row>
    <row r="349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</row>
    <row r="350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</row>
    <row r="35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</row>
    <row r="352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</row>
    <row r="353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</row>
    <row r="354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</row>
    <row r="355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</row>
    <row r="356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</row>
    <row r="357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</row>
    <row r="358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</row>
    <row r="359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</row>
    <row r="360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</row>
    <row r="36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</row>
    <row r="362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</row>
    <row r="363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</row>
    <row r="364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</row>
    <row r="365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</row>
    <row r="366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</row>
    <row r="367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</row>
    <row r="368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</row>
    <row r="369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</row>
    <row r="370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</row>
    <row r="37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</row>
    <row r="372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</row>
    <row r="373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</row>
    <row r="374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</row>
    <row r="375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</row>
    <row r="376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</row>
    <row r="377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</row>
    <row r="378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</row>
    <row r="379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</row>
    <row r="380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</row>
    <row r="38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</row>
    <row r="382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</row>
    <row r="383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</row>
    <row r="384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</row>
    <row r="385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</row>
    <row r="386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</row>
    <row r="387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</row>
    <row r="388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</row>
    <row r="389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</row>
    <row r="390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</row>
    <row r="39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</row>
    <row r="392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</row>
    <row r="393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</row>
    <row r="394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</row>
    <row r="395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</row>
    <row r="396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</row>
    <row r="397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</row>
    <row r="398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</row>
    <row r="399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</row>
    <row r="400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</row>
    <row r="40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</row>
    <row r="402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</row>
    <row r="403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</row>
    <row r="404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</row>
    <row r="405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</row>
    <row r="406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</row>
    <row r="407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</row>
    <row r="408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</row>
    <row r="409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</row>
    <row r="410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</row>
    <row r="41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</row>
    <row r="412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</row>
    <row r="413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</row>
    <row r="414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</row>
    <row r="415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</row>
    <row r="416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</row>
    <row r="417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</row>
    <row r="418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</row>
    <row r="419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</row>
    <row r="420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</row>
    <row r="42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</row>
    <row r="422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</row>
    <row r="423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</row>
    <row r="424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</row>
    <row r="425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</row>
    <row r="426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</row>
    <row r="427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</row>
    <row r="428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</row>
    <row r="429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</row>
    <row r="430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</row>
    <row r="43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</row>
    <row r="432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</row>
    <row r="433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</row>
    <row r="434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</row>
    <row r="435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</row>
    <row r="436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</row>
    <row r="437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</row>
    <row r="438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</row>
    <row r="439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</row>
    <row r="440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</row>
    <row r="44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</row>
    <row r="442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</row>
    <row r="443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</row>
    <row r="444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</row>
    <row r="445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</row>
    <row r="446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</row>
    <row r="447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</row>
    <row r="448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</row>
    <row r="449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</row>
    <row r="450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</row>
    <row r="45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</row>
    <row r="452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</row>
    <row r="453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</row>
    <row r="454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</row>
    <row r="455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</row>
    <row r="456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</row>
    <row r="457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</row>
    <row r="458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</row>
    <row r="459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</row>
    <row r="460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</row>
    <row r="46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</row>
    <row r="462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</row>
    <row r="463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</row>
    <row r="464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</row>
    <row r="465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</row>
    <row r="466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</row>
    <row r="467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</row>
    <row r="468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</row>
    <row r="469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</row>
    <row r="470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</row>
    <row r="47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</row>
    <row r="472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</row>
    <row r="473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</row>
    <row r="474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</row>
    <row r="475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</row>
    <row r="476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</row>
    <row r="477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</row>
    <row r="478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</row>
    <row r="479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</row>
    <row r="480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</row>
    <row r="48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</row>
    <row r="482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</row>
    <row r="483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</row>
    <row r="484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</row>
    <row r="485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</row>
    <row r="486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</row>
    <row r="487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</row>
    <row r="488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</row>
    <row r="489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</row>
    <row r="490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</row>
    <row r="49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</row>
    <row r="492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</row>
    <row r="493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</row>
    <row r="494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</row>
    <row r="495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</row>
    <row r="496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</row>
    <row r="497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</row>
    <row r="498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</row>
    <row r="499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</row>
    <row r="500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</row>
    <row r="50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</row>
    <row r="502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</row>
    <row r="503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</row>
    <row r="504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</row>
    <row r="505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</row>
    <row r="506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</row>
    <row r="507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</row>
    <row r="508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</row>
    <row r="509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</row>
    <row r="510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</row>
    <row r="51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</row>
    <row r="512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</row>
    <row r="513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</row>
    <row r="514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</row>
    <row r="515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</row>
    <row r="516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</row>
    <row r="517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</row>
    <row r="518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</row>
    <row r="519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</row>
    <row r="520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</row>
    <row r="52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</row>
    <row r="522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</row>
    <row r="523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</row>
    <row r="524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</row>
    <row r="525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</row>
    <row r="526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</row>
    <row r="527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</row>
    <row r="528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</row>
    <row r="529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</row>
    <row r="530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</row>
    <row r="53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</row>
    <row r="532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</row>
    <row r="533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</row>
    <row r="534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</row>
    <row r="535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</row>
    <row r="536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</row>
    <row r="537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</row>
    <row r="538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</row>
    <row r="539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</row>
    <row r="540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</row>
    <row r="54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</row>
    <row r="542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</row>
    <row r="543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</row>
    <row r="544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</row>
    <row r="545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</row>
    <row r="546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</row>
    <row r="547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</row>
    <row r="548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</row>
    <row r="549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</row>
    <row r="550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</row>
    <row r="55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</row>
    <row r="552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</row>
    <row r="553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</row>
    <row r="554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</row>
    <row r="555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</row>
    <row r="556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</row>
    <row r="557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</row>
    <row r="558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</row>
    <row r="559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</row>
    <row r="560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</row>
    <row r="56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</row>
    <row r="562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</row>
    <row r="563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</row>
    <row r="564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</row>
    <row r="565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</row>
    <row r="566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</row>
    <row r="567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</row>
    <row r="568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</row>
    <row r="569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</row>
    <row r="570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</row>
    <row r="57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</row>
    <row r="572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</row>
    <row r="573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</row>
    <row r="574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</row>
    <row r="575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</row>
    <row r="576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</row>
    <row r="577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</row>
    <row r="578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</row>
    <row r="579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</row>
    <row r="580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</row>
    <row r="58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</row>
    <row r="582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</row>
    <row r="583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</row>
    <row r="584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</row>
    <row r="585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</row>
    <row r="586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</row>
    <row r="587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</row>
    <row r="588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</row>
    <row r="589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</row>
    <row r="590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</row>
    <row r="59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</row>
    <row r="592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</row>
    <row r="593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</row>
    <row r="594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</row>
    <row r="595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</row>
    <row r="596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</row>
    <row r="597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</row>
    <row r="598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</row>
    <row r="599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</row>
    <row r="600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</row>
    <row r="60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</row>
    <row r="602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</row>
    <row r="603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</row>
    <row r="604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</row>
    <row r="605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</row>
    <row r="606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</row>
    <row r="607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</row>
    <row r="608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</row>
    <row r="609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</row>
    <row r="610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</row>
    <row r="61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</row>
    <row r="612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</row>
    <row r="613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</row>
    <row r="614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</row>
    <row r="615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</row>
    <row r="616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</row>
    <row r="617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</row>
    <row r="618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</row>
    <row r="619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</row>
    <row r="620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</row>
    <row r="62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</row>
    <row r="622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</row>
    <row r="623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</row>
    <row r="624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</row>
    <row r="625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</row>
    <row r="626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</row>
    <row r="627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</row>
    <row r="628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</row>
    <row r="629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</row>
    <row r="630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</row>
    <row r="63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</row>
    <row r="632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</row>
    <row r="633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</row>
    <row r="634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</row>
    <row r="635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</row>
    <row r="636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</row>
    <row r="637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</row>
    <row r="638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</row>
    <row r="639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</row>
    <row r="640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</row>
    <row r="64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</row>
    <row r="642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</row>
    <row r="643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</row>
    <row r="644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</row>
    <row r="645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</row>
    <row r="646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</row>
    <row r="647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</row>
    <row r="648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</row>
    <row r="649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</row>
    <row r="650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</row>
    <row r="65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</row>
    <row r="652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</row>
    <row r="653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</row>
    <row r="654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</row>
    <row r="655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</row>
    <row r="656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</row>
    <row r="657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</row>
    <row r="658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</row>
    <row r="659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</row>
    <row r="660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</row>
    <row r="66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</row>
    <row r="662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</row>
    <row r="663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</row>
    <row r="664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</row>
    <row r="665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</row>
    <row r="666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</row>
    <row r="667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</row>
    <row r="668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</row>
    <row r="669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</row>
    <row r="670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</row>
    <row r="67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</row>
    <row r="672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</row>
    <row r="673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</row>
    <row r="674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</row>
    <row r="675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</row>
    <row r="676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</row>
    <row r="677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</row>
    <row r="678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</row>
    <row r="679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</row>
    <row r="680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</row>
    <row r="68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</row>
    <row r="682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</row>
    <row r="683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</row>
    <row r="684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</row>
    <row r="685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</row>
    <row r="686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</row>
    <row r="687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</row>
    <row r="688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</row>
    <row r="689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</row>
    <row r="690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</row>
    <row r="69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</row>
    <row r="692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</row>
    <row r="693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</row>
    <row r="694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</row>
    <row r="695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</row>
    <row r="696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</row>
    <row r="697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</row>
    <row r="698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</row>
    <row r="699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</row>
    <row r="700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</row>
    <row r="70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</row>
    <row r="702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</row>
    <row r="703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</row>
    <row r="704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</row>
    <row r="705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</row>
    <row r="706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</row>
    <row r="707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</row>
    <row r="708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</row>
    <row r="709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</row>
    <row r="710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</row>
    <row r="71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</row>
    <row r="712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</row>
    <row r="713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</row>
    <row r="714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</row>
    <row r="715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</row>
    <row r="716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</row>
    <row r="717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</row>
    <row r="718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</row>
    <row r="719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</row>
    <row r="720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</row>
    <row r="72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</row>
    <row r="722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</row>
    <row r="723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</row>
    <row r="724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</row>
    <row r="725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</row>
    <row r="726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</row>
    <row r="727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</row>
    <row r="728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</row>
    <row r="729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</row>
    <row r="730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</row>
    <row r="73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</row>
    <row r="732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</row>
    <row r="733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</row>
    <row r="734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</row>
    <row r="735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</row>
    <row r="736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</row>
    <row r="737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</row>
    <row r="738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</row>
    <row r="739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</row>
    <row r="740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</row>
    <row r="74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</row>
    <row r="742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</row>
    <row r="743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</row>
    <row r="744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</row>
    <row r="745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</row>
    <row r="746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</row>
    <row r="747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</row>
    <row r="748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</row>
    <row r="749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</row>
    <row r="750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</row>
    <row r="75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</row>
    <row r="752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</row>
    <row r="753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</row>
    <row r="754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</row>
    <row r="755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</row>
    <row r="756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</row>
    <row r="757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</row>
    <row r="758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</row>
    <row r="759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</row>
    <row r="760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</row>
    <row r="76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</row>
    <row r="762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</row>
    <row r="763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</row>
    <row r="764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</row>
    <row r="765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</row>
    <row r="766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</row>
    <row r="767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</row>
    <row r="768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</row>
    <row r="769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</row>
    <row r="770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</row>
    <row r="77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</row>
    <row r="772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</row>
    <row r="773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</row>
    <row r="774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</row>
    <row r="775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</row>
    <row r="776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</row>
    <row r="777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</row>
    <row r="778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</row>
    <row r="779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</row>
    <row r="780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</row>
    <row r="78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</row>
    <row r="782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</row>
    <row r="783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</row>
    <row r="784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</row>
    <row r="785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</row>
    <row r="786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</row>
    <row r="787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</row>
    <row r="788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</row>
    <row r="789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</row>
    <row r="790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</row>
    <row r="79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</row>
    <row r="792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</row>
    <row r="793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</row>
    <row r="794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</row>
    <row r="795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</row>
    <row r="796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</row>
    <row r="797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</row>
    <row r="798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</row>
    <row r="799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</row>
    <row r="800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</row>
    <row r="80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</row>
    <row r="802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</row>
    <row r="803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</row>
    <row r="804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</row>
    <row r="805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</row>
    <row r="806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</row>
    <row r="807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</row>
    <row r="808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</row>
    <row r="809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</row>
    <row r="810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</row>
    <row r="81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</row>
    <row r="812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</row>
    <row r="813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</row>
    <row r="814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</row>
    <row r="815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</row>
    <row r="816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</row>
    <row r="817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</row>
    <row r="818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</row>
    <row r="819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</row>
    <row r="820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</row>
    <row r="82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</row>
    <row r="822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</row>
    <row r="823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</row>
    <row r="824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</row>
    <row r="825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</row>
    <row r="826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</row>
    <row r="827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</row>
    <row r="828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</row>
    <row r="829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</row>
    <row r="830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</row>
    <row r="83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</row>
    <row r="832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</row>
    <row r="833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</row>
    <row r="834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</row>
    <row r="835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</row>
    <row r="836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</row>
    <row r="837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</row>
    <row r="838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</row>
    <row r="839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</row>
    <row r="840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</row>
    <row r="84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</row>
    <row r="842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</row>
    <row r="843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</row>
    <row r="844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</row>
    <row r="845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</row>
    <row r="846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</row>
    <row r="847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</row>
    <row r="848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</row>
    <row r="849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</row>
    <row r="850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</row>
    <row r="85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</row>
    <row r="852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</row>
    <row r="853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</row>
    <row r="854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</row>
    <row r="855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</row>
    <row r="856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</row>
    <row r="857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</row>
    <row r="858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</row>
    <row r="859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</row>
    <row r="860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</row>
    <row r="86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</row>
    <row r="862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</row>
    <row r="863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</row>
    <row r="864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</row>
    <row r="865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</row>
    <row r="866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</row>
    <row r="867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</row>
    <row r="868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</row>
    <row r="869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</row>
    <row r="870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</row>
    <row r="87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</row>
    <row r="872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</row>
    <row r="873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</row>
    <row r="874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</row>
    <row r="875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</row>
    <row r="876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</row>
    <row r="877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</row>
    <row r="878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</row>
    <row r="879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</row>
    <row r="880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</row>
    <row r="88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</row>
    <row r="882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</row>
    <row r="883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</row>
    <row r="884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</row>
    <row r="885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</row>
    <row r="886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</row>
    <row r="887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</row>
    <row r="888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</row>
    <row r="889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</row>
    <row r="890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</row>
    <row r="89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</row>
    <row r="892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</row>
    <row r="893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</row>
    <row r="894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</row>
    <row r="895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</row>
    <row r="896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</row>
    <row r="897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</row>
    <row r="898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</row>
    <row r="899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</row>
    <row r="900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</row>
    <row r="90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</row>
    <row r="902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</row>
    <row r="903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</row>
    <row r="904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</row>
    <row r="905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</row>
    <row r="906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</row>
    <row r="907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</row>
    <row r="908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</row>
    <row r="909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</row>
    <row r="910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</row>
    <row r="91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</row>
    <row r="912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</row>
    <row r="913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</row>
    <row r="914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</row>
    <row r="915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</row>
    <row r="916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</row>
    <row r="917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</row>
    <row r="918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</row>
    <row r="919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</row>
    <row r="920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</row>
    <row r="92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</row>
    <row r="922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</row>
    <row r="923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</row>
    <row r="924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</row>
    <row r="925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</row>
    <row r="926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</row>
    <row r="927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</row>
    <row r="928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</row>
    <row r="929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</row>
    <row r="930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</row>
    <row r="93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</row>
    <row r="932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</row>
    <row r="933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</row>
    <row r="934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</row>
    <row r="935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</row>
    <row r="936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</row>
    <row r="937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</row>
    <row r="938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</row>
    <row r="939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</row>
    <row r="940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</row>
    <row r="94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</row>
    <row r="942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</row>
    <row r="943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</row>
    <row r="944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</row>
    <row r="945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</row>
    <row r="946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</row>
    <row r="947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</row>
    <row r="948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</row>
    <row r="949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</row>
    <row r="950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</row>
    <row r="95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</row>
    <row r="952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</row>
    <row r="953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</row>
    <row r="954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</row>
    <row r="955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</row>
    <row r="956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</row>
    <row r="957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</row>
    <row r="958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</row>
    <row r="959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</row>
    <row r="960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</row>
    <row r="96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</row>
    <row r="962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</row>
    <row r="963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</row>
    <row r="964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</row>
    <row r="965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</row>
    <row r="966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</row>
    <row r="967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</row>
    <row r="968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</row>
    <row r="969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</row>
    <row r="970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</row>
    <row r="97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</row>
    <row r="972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</row>
    <row r="973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</row>
    <row r="974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</row>
    <row r="975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</row>
    <row r="976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</row>
    <row r="977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</row>
    <row r="978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</row>
    <row r="979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</row>
    <row r="980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</row>
    <row r="98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</row>
    <row r="982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</row>
    <row r="983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  <c r="AA983" s="245"/>
    </row>
    <row r="984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  <c r="AA984" s="245"/>
    </row>
    <row r="985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  <c r="AA985" s="245"/>
    </row>
    <row r="986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  <c r="AA986" s="245"/>
    </row>
    <row r="987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  <c r="AA987" s="245"/>
    </row>
    <row r="988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  <c r="AA988" s="245"/>
    </row>
    <row r="989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  <c r="AA989" s="245"/>
    </row>
    <row r="990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  <c r="AA990" s="245"/>
    </row>
    <row r="99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  <c r="AA991" s="245"/>
    </row>
    <row r="992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  <c r="AA992" s="245"/>
    </row>
    <row r="993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  <c r="AA993" s="245"/>
    </row>
    <row r="994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  <c r="AA994" s="245"/>
    </row>
    <row r="995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  <c r="AA995" s="245"/>
    </row>
    <row r="996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  <c r="AA996" s="245"/>
    </row>
    <row r="997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  <c r="AA997" s="245"/>
    </row>
    <row r="998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  <c r="AA998" s="245"/>
    </row>
    <row r="999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  <c r="AA999" s="245"/>
    </row>
    <row r="1000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  <c r="AA1000" s="245"/>
    </row>
    <row r="1001">
      <c r="A1001" s="245"/>
      <c r="B1001" s="245"/>
      <c r="C1001" s="245"/>
      <c r="D1001" s="245"/>
      <c r="E1001" s="245"/>
      <c r="F1001" s="245"/>
      <c r="G1001" s="245"/>
      <c r="H1001" s="245"/>
      <c r="I1001" s="245"/>
      <c r="J1001" s="245"/>
      <c r="K1001" s="245"/>
      <c r="L1001" s="245"/>
      <c r="M1001" s="245"/>
      <c r="N1001" s="245"/>
      <c r="O1001" s="245"/>
      <c r="P1001" s="245"/>
      <c r="Q1001" s="245"/>
      <c r="R1001" s="245"/>
      <c r="S1001" s="245"/>
      <c r="T1001" s="245"/>
      <c r="U1001" s="245"/>
      <c r="V1001" s="245"/>
      <c r="W1001" s="245"/>
      <c r="X1001" s="245"/>
      <c r="Y1001" s="245"/>
      <c r="Z1001" s="245"/>
      <c r="AA1001" s="245"/>
    </row>
    <row r="1002">
      <c r="A1002" s="245"/>
      <c r="B1002" s="245"/>
      <c r="C1002" s="245"/>
      <c r="D1002" s="245"/>
      <c r="E1002" s="245"/>
      <c r="F1002" s="245"/>
      <c r="G1002" s="245"/>
      <c r="H1002" s="245"/>
      <c r="I1002" s="245"/>
      <c r="J1002" s="245"/>
      <c r="K1002" s="245"/>
      <c r="L1002" s="245"/>
      <c r="M1002" s="245"/>
      <c r="N1002" s="245"/>
      <c r="O1002" s="245"/>
      <c r="P1002" s="245"/>
      <c r="Q1002" s="245"/>
      <c r="R1002" s="245"/>
      <c r="S1002" s="245"/>
      <c r="T1002" s="245"/>
      <c r="U1002" s="245"/>
      <c r="V1002" s="245"/>
      <c r="W1002" s="245"/>
      <c r="X1002" s="245"/>
      <c r="Y1002" s="245"/>
      <c r="Z1002" s="245"/>
      <c r="AA1002" s="245"/>
    </row>
    <row r="1003">
      <c r="A1003" s="245"/>
      <c r="B1003" s="245"/>
      <c r="C1003" s="245"/>
      <c r="D1003" s="245"/>
      <c r="E1003" s="245"/>
      <c r="F1003" s="245"/>
      <c r="G1003" s="245"/>
      <c r="H1003" s="245"/>
      <c r="I1003" s="245"/>
      <c r="J1003" s="245"/>
      <c r="K1003" s="245"/>
      <c r="L1003" s="245"/>
      <c r="M1003" s="245"/>
      <c r="N1003" s="245"/>
      <c r="O1003" s="245"/>
      <c r="P1003" s="245"/>
      <c r="Q1003" s="245"/>
      <c r="R1003" s="245"/>
      <c r="S1003" s="245"/>
      <c r="T1003" s="245"/>
      <c r="U1003" s="245"/>
      <c r="V1003" s="245"/>
      <c r="W1003" s="245"/>
      <c r="X1003" s="245"/>
      <c r="Y1003" s="245"/>
      <c r="Z1003" s="245"/>
      <c r="AA1003" s="245"/>
    </row>
    <row r="1004">
      <c r="A1004" s="245"/>
      <c r="B1004" s="245"/>
      <c r="C1004" s="245"/>
      <c r="D1004" s="245"/>
      <c r="E1004" s="245"/>
      <c r="F1004" s="245"/>
      <c r="G1004" s="245"/>
      <c r="H1004" s="245"/>
      <c r="I1004" s="245"/>
      <c r="J1004" s="245"/>
      <c r="K1004" s="245"/>
      <c r="L1004" s="245"/>
      <c r="M1004" s="245"/>
      <c r="N1004" s="245"/>
      <c r="O1004" s="245"/>
      <c r="P1004" s="245"/>
      <c r="Q1004" s="245"/>
      <c r="R1004" s="245"/>
      <c r="S1004" s="245"/>
      <c r="T1004" s="245"/>
      <c r="U1004" s="245"/>
      <c r="V1004" s="245"/>
      <c r="W1004" s="245"/>
      <c r="X1004" s="245"/>
      <c r="Y1004" s="245"/>
      <c r="Z1004" s="245"/>
      <c r="AA1004" s="245"/>
    </row>
    <row r="1005">
      <c r="A1005" s="245"/>
      <c r="B1005" s="245"/>
      <c r="C1005" s="245"/>
      <c r="D1005" s="245"/>
      <c r="E1005" s="245"/>
      <c r="F1005" s="245"/>
      <c r="G1005" s="245"/>
      <c r="H1005" s="245"/>
      <c r="I1005" s="245"/>
      <c r="J1005" s="245"/>
      <c r="K1005" s="245"/>
      <c r="L1005" s="245"/>
      <c r="M1005" s="245"/>
      <c r="N1005" s="245"/>
      <c r="O1005" s="245"/>
      <c r="P1005" s="245"/>
      <c r="Q1005" s="245"/>
      <c r="R1005" s="245"/>
      <c r="S1005" s="245"/>
      <c r="T1005" s="245"/>
      <c r="U1005" s="245"/>
      <c r="V1005" s="245"/>
      <c r="W1005" s="245"/>
      <c r="X1005" s="245"/>
      <c r="Y1005" s="245"/>
      <c r="Z1005" s="245"/>
      <c r="AA1005" s="245"/>
    </row>
    <row r="1006">
      <c r="A1006" s="245"/>
      <c r="B1006" s="245"/>
      <c r="C1006" s="245"/>
      <c r="D1006" s="245"/>
      <c r="E1006" s="245"/>
      <c r="F1006" s="245"/>
      <c r="G1006" s="245"/>
      <c r="H1006" s="245"/>
      <c r="I1006" s="245"/>
      <c r="J1006" s="245"/>
      <c r="K1006" s="245"/>
      <c r="L1006" s="245"/>
      <c r="M1006" s="245"/>
      <c r="N1006" s="245"/>
      <c r="O1006" s="245"/>
      <c r="P1006" s="245"/>
      <c r="Q1006" s="245"/>
      <c r="R1006" s="245"/>
      <c r="S1006" s="245"/>
      <c r="T1006" s="245"/>
      <c r="U1006" s="245"/>
      <c r="V1006" s="245"/>
      <c r="W1006" s="245"/>
      <c r="X1006" s="245"/>
      <c r="Y1006" s="245"/>
      <c r="Z1006" s="245"/>
      <c r="AA1006" s="245"/>
    </row>
    <row r="1007">
      <c r="A1007" s="245"/>
      <c r="B1007" s="245"/>
      <c r="C1007" s="245"/>
      <c r="D1007" s="245"/>
      <c r="E1007" s="245"/>
      <c r="F1007" s="245"/>
      <c r="G1007" s="245"/>
      <c r="H1007" s="245"/>
      <c r="I1007" s="245"/>
      <c r="J1007" s="245"/>
      <c r="K1007" s="245"/>
      <c r="L1007" s="245"/>
      <c r="M1007" s="245"/>
      <c r="N1007" s="245"/>
      <c r="O1007" s="245"/>
      <c r="P1007" s="245"/>
      <c r="Q1007" s="245"/>
      <c r="R1007" s="245"/>
      <c r="S1007" s="245"/>
      <c r="T1007" s="245"/>
      <c r="U1007" s="245"/>
      <c r="V1007" s="245"/>
      <c r="W1007" s="245"/>
      <c r="X1007" s="245"/>
      <c r="Y1007" s="245"/>
      <c r="Z1007" s="245"/>
      <c r="AA1007" s="245"/>
    </row>
    <row r="1008">
      <c r="A1008" s="245"/>
      <c r="B1008" s="245"/>
      <c r="C1008" s="245"/>
      <c r="D1008" s="245"/>
      <c r="E1008" s="245"/>
      <c r="F1008" s="245"/>
      <c r="G1008" s="245"/>
      <c r="H1008" s="245"/>
      <c r="I1008" s="245"/>
      <c r="J1008" s="245"/>
      <c r="K1008" s="245"/>
      <c r="L1008" s="245"/>
      <c r="M1008" s="245"/>
      <c r="N1008" s="245"/>
      <c r="O1008" s="245"/>
      <c r="P1008" s="245"/>
      <c r="Q1008" s="245"/>
      <c r="R1008" s="245"/>
      <c r="S1008" s="245"/>
      <c r="T1008" s="245"/>
      <c r="U1008" s="245"/>
      <c r="V1008" s="245"/>
      <c r="W1008" s="245"/>
      <c r="X1008" s="245"/>
      <c r="Y1008" s="245"/>
      <c r="Z1008" s="245"/>
      <c r="AA1008" s="245"/>
    </row>
    <row r="1009">
      <c r="A1009" s="245"/>
      <c r="B1009" s="245"/>
      <c r="C1009" s="245"/>
      <c r="D1009" s="245"/>
      <c r="E1009" s="245"/>
      <c r="F1009" s="245"/>
      <c r="G1009" s="245"/>
      <c r="H1009" s="245"/>
      <c r="I1009" s="245"/>
      <c r="J1009" s="245"/>
      <c r="K1009" s="245"/>
      <c r="L1009" s="245"/>
      <c r="M1009" s="245"/>
      <c r="N1009" s="245"/>
      <c r="O1009" s="245"/>
      <c r="P1009" s="245"/>
      <c r="Q1009" s="245"/>
      <c r="R1009" s="245"/>
      <c r="S1009" s="245"/>
      <c r="T1009" s="245"/>
      <c r="U1009" s="245"/>
      <c r="V1009" s="245"/>
      <c r="W1009" s="245"/>
      <c r="X1009" s="245"/>
      <c r="Y1009" s="245"/>
      <c r="Z1009" s="245"/>
      <c r="AA1009" s="245"/>
    </row>
    <row r="1010">
      <c r="A1010" s="245"/>
      <c r="B1010" s="245"/>
      <c r="C1010" s="245"/>
      <c r="D1010" s="245"/>
      <c r="E1010" s="245"/>
      <c r="F1010" s="245"/>
      <c r="G1010" s="245"/>
      <c r="H1010" s="245"/>
      <c r="I1010" s="245"/>
      <c r="J1010" s="245"/>
      <c r="K1010" s="245"/>
      <c r="L1010" s="245"/>
      <c r="M1010" s="245"/>
      <c r="N1010" s="245"/>
      <c r="O1010" s="245"/>
      <c r="P1010" s="245"/>
      <c r="Q1010" s="245"/>
      <c r="R1010" s="245"/>
      <c r="S1010" s="245"/>
      <c r="T1010" s="245"/>
      <c r="U1010" s="245"/>
      <c r="V1010" s="245"/>
      <c r="W1010" s="245"/>
      <c r="X1010" s="245"/>
      <c r="Y1010" s="245"/>
      <c r="Z1010" s="245"/>
      <c r="AA1010" s="245"/>
    </row>
    <row r="1011">
      <c r="A1011" s="245"/>
      <c r="B1011" s="245"/>
      <c r="C1011" s="245"/>
      <c r="D1011" s="245"/>
      <c r="E1011" s="245"/>
      <c r="F1011" s="245"/>
      <c r="G1011" s="245"/>
      <c r="H1011" s="245"/>
      <c r="I1011" s="245"/>
      <c r="J1011" s="245"/>
      <c r="K1011" s="245"/>
      <c r="L1011" s="245"/>
      <c r="M1011" s="245"/>
      <c r="N1011" s="245"/>
      <c r="O1011" s="245"/>
      <c r="P1011" s="245"/>
      <c r="Q1011" s="245"/>
      <c r="R1011" s="245"/>
      <c r="S1011" s="245"/>
      <c r="T1011" s="245"/>
      <c r="U1011" s="245"/>
      <c r="V1011" s="245"/>
      <c r="W1011" s="245"/>
      <c r="X1011" s="245"/>
      <c r="Y1011" s="245"/>
      <c r="Z1011" s="245"/>
      <c r="AA1011" s="245"/>
    </row>
    <row r="1012">
      <c r="A1012" s="245"/>
      <c r="B1012" s="245"/>
      <c r="C1012" s="245"/>
      <c r="D1012" s="245"/>
      <c r="E1012" s="245"/>
      <c r="F1012" s="245"/>
      <c r="G1012" s="245"/>
      <c r="H1012" s="245"/>
      <c r="I1012" s="245"/>
      <c r="J1012" s="245"/>
      <c r="K1012" s="245"/>
      <c r="L1012" s="245"/>
      <c r="M1012" s="245"/>
      <c r="N1012" s="245"/>
      <c r="O1012" s="245"/>
      <c r="P1012" s="245"/>
      <c r="Q1012" s="245"/>
      <c r="R1012" s="245"/>
      <c r="S1012" s="245"/>
      <c r="T1012" s="245"/>
      <c r="U1012" s="245"/>
      <c r="V1012" s="245"/>
      <c r="W1012" s="245"/>
      <c r="X1012" s="245"/>
      <c r="Y1012" s="245"/>
      <c r="Z1012" s="245"/>
      <c r="AA1012" s="245"/>
    </row>
    <row r="1013">
      <c r="A1013" s="245"/>
      <c r="B1013" s="245"/>
      <c r="C1013" s="245"/>
      <c r="D1013" s="245"/>
      <c r="E1013" s="245"/>
      <c r="F1013" s="245"/>
      <c r="G1013" s="245"/>
      <c r="H1013" s="245"/>
      <c r="I1013" s="245"/>
      <c r="J1013" s="245"/>
      <c r="K1013" s="245"/>
      <c r="L1013" s="245"/>
      <c r="M1013" s="245"/>
      <c r="N1013" s="245"/>
      <c r="O1013" s="245"/>
      <c r="P1013" s="245"/>
      <c r="Q1013" s="245"/>
      <c r="R1013" s="245"/>
      <c r="S1013" s="245"/>
      <c r="T1013" s="245"/>
      <c r="U1013" s="245"/>
      <c r="V1013" s="245"/>
      <c r="W1013" s="245"/>
      <c r="X1013" s="245"/>
      <c r="Y1013" s="245"/>
      <c r="Z1013" s="245"/>
      <c r="AA1013" s="245"/>
    </row>
    <row r="1014">
      <c r="A1014" s="245"/>
      <c r="B1014" s="245"/>
      <c r="C1014" s="245"/>
      <c r="D1014" s="245"/>
      <c r="E1014" s="245"/>
      <c r="F1014" s="245"/>
      <c r="G1014" s="245"/>
      <c r="H1014" s="245"/>
      <c r="I1014" s="245"/>
      <c r="J1014" s="245"/>
      <c r="K1014" s="245"/>
      <c r="L1014" s="245"/>
      <c r="M1014" s="245"/>
      <c r="N1014" s="245"/>
      <c r="O1014" s="245"/>
      <c r="P1014" s="245"/>
      <c r="Q1014" s="245"/>
      <c r="R1014" s="245"/>
      <c r="S1014" s="245"/>
      <c r="T1014" s="245"/>
      <c r="U1014" s="245"/>
      <c r="V1014" s="245"/>
      <c r="W1014" s="245"/>
      <c r="X1014" s="245"/>
      <c r="Y1014" s="245"/>
      <c r="Z1014" s="245"/>
      <c r="AA1014" s="245"/>
    </row>
    <row r="1015">
      <c r="A1015" s="245"/>
      <c r="B1015" s="245"/>
      <c r="C1015" s="245"/>
      <c r="D1015" s="245"/>
      <c r="E1015" s="245"/>
      <c r="F1015" s="245"/>
      <c r="G1015" s="245"/>
      <c r="H1015" s="245"/>
      <c r="I1015" s="245"/>
      <c r="J1015" s="245"/>
      <c r="K1015" s="245"/>
      <c r="L1015" s="245"/>
      <c r="M1015" s="245"/>
      <c r="N1015" s="245"/>
      <c r="O1015" s="245"/>
      <c r="P1015" s="245"/>
      <c r="Q1015" s="245"/>
      <c r="R1015" s="245"/>
      <c r="S1015" s="245"/>
      <c r="T1015" s="245"/>
      <c r="U1015" s="245"/>
      <c r="V1015" s="245"/>
      <c r="W1015" s="245"/>
      <c r="X1015" s="245"/>
      <c r="Y1015" s="245"/>
      <c r="Z1015" s="245"/>
      <c r="AA1015" s="245"/>
    </row>
    <row r="1016">
      <c r="A1016" s="245"/>
      <c r="B1016" s="245"/>
      <c r="C1016" s="245"/>
      <c r="D1016" s="245"/>
      <c r="E1016" s="245"/>
      <c r="F1016" s="245"/>
      <c r="G1016" s="245"/>
      <c r="H1016" s="245"/>
      <c r="I1016" s="245"/>
      <c r="J1016" s="245"/>
      <c r="K1016" s="245"/>
      <c r="L1016" s="245"/>
      <c r="M1016" s="245"/>
      <c r="N1016" s="245"/>
      <c r="O1016" s="245"/>
      <c r="P1016" s="245"/>
      <c r="Q1016" s="245"/>
      <c r="R1016" s="245"/>
      <c r="S1016" s="245"/>
      <c r="T1016" s="245"/>
      <c r="U1016" s="245"/>
      <c r="V1016" s="245"/>
      <c r="W1016" s="245"/>
      <c r="X1016" s="245"/>
      <c r="Y1016" s="245"/>
      <c r="Z1016" s="245"/>
      <c r="AA1016" s="245"/>
    </row>
    <row r="1017">
      <c r="A1017" s="245"/>
      <c r="B1017" s="245"/>
      <c r="C1017" s="245"/>
      <c r="D1017" s="245"/>
      <c r="E1017" s="245"/>
      <c r="F1017" s="245"/>
      <c r="G1017" s="245"/>
      <c r="H1017" s="245"/>
      <c r="I1017" s="245"/>
      <c r="J1017" s="245"/>
      <c r="K1017" s="245"/>
      <c r="L1017" s="245"/>
      <c r="M1017" s="245"/>
      <c r="N1017" s="245"/>
      <c r="O1017" s="245"/>
      <c r="P1017" s="245"/>
      <c r="Q1017" s="245"/>
      <c r="R1017" s="245"/>
      <c r="S1017" s="245"/>
      <c r="T1017" s="245"/>
      <c r="U1017" s="245"/>
      <c r="V1017" s="245"/>
      <c r="W1017" s="245"/>
      <c r="X1017" s="245"/>
      <c r="Y1017" s="245"/>
      <c r="Z1017" s="245"/>
      <c r="AA1017" s="245"/>
    </row>
    <row r="1018">
      <c r="A1018" s="245"/>
      <c r="B1018" s="245"/>
      <c r="C1018" s="245"/>
      <c r="D1018" s="245"/>
      <c r="E1018" s="245"/>
      <c r="F1018" s="245"/>
      <c r="G1018" s="245"/>
      <c r="H1018" s="245"/>
      <c r="I1018" s="245"/>
      <c r="J1018" s="245"/>
      <c r="K1018" s="245"/>
      <c r="L1018" s="245"/>
      <c r="M1018" s="245"/>
      <c r="N1018" s="245"/>
      <c r="O1018" s="245"/>
      <c r="P1018" s="245"/>
      <c r="Q1018" s="245"/>
      <c r="R1018" s="245"/>
      <c r="S1018" s="245"/>
      <c r="T1018" s="245"/>
      <c r="U1018" s="245"/>
      <c r="V1018" s="245"/>
      <c r="W1018" s="245"/>
      <c r="X1018" s="245"/>
      <c r="Y1018" s="245"/>
      <c r="Z1018" s="245"/>
      <c r="AA1018" s="245"/>
    </row>
    <row r="1019">
      <c r="A1019" s="245"/>
      <c r="B1019" s="245"/>
      <c r="C1019" s="245"/>
      <c r="D1019" s="245"/>
      <c r="E1019" s="245"/>
      <c r="F1019" s="245"/>
      <c r="G1019" s="245"/>
      <c r="H1019" s="245"/>
      <c r="I1019" s="245"/>
      <c r="J1019" s="245"/>
      <c r="K1019" s="245"/>
      <c r="L1019" s="245"/>
      <c r="M1019" s="245"/>
      <c r="N1019" s="245"/>
      <c r="O1019" s="245"/>
      <c r="P1019" s="245"/>
      <c r="Q1019" s="245"/>
      <c r="R1019" s="245"/>
      <c r="S1019" s="245"/>
      <c r="T1019" s="245"/>
      <c r="U1019" s="245"/>
      <c r="V1019" s="245"/>
      <c r="W1019" s="245"/>
      <c r="X1019" s="245"/>
      <c r="Y1019" s="245"/>
      <c r="Z1019" s="245"/>
      <c r="AA1019" s="245"/>
    </row>
    <row r="1020">
      <c r="A1020" s="245"/>
      <c r="B1020" s="245"/>
      <c r="C1020" s="245"/>
      <c r="D1020" s="245"/>
      <c r="E1020" s="245"/>
      <c r="F1020" s="245"/>
      <c r="G1020" s="245"/>
      <c r="H1020" s="245"/>
      <c r="I1020" s="245"/>
      <c r="J1020" s="245"/>
      <c r="K1020" s="245"/>
      <c r="L1020" s="245"/>
      <c r="M1020" s="245"/>
      <c r="N1020" s="245"/>
      <c r="O1020" s="245"/>
      <c r="P1020" s="245"/>
      <c r="Q1020" s="245"/>
      <c r="R1020" s="245"/>
      <c r="S1020" s="245"/>
      <c r="T1020" s="245"/>
      <c r="U1020" s="245"/>
      <c r="V1020" s="245"/>
      <c r="W1020" s="245"/>
      <c r="X1020" s="245"/>
      <c r="Y1020" s="245"/>
      <c r="Z1020" s="245"/>
      <c r="AA1020" s="245"/>
    </row>
    <row r="1021">
      <c r="A1021" s="245"/>
      <c r="B1021" s="245"/>
      <c r="C1021" s="245"/>
      <c r="D1021" s="245"/>
      <c r="E1021" s="245"/>
      <c r="F1021" s="245"/>
      <c r="G1021" s="245"/>
      <c r="H1021" s="245"/>
      <c r="I1021" s="245"/>
      <c r="J1021" s="245"/>
      <c r="K1021" s="245"/>
      <c r="L1021" s="245"/>
      <c r="M1021" s="245"/>
      <c r="N1021" s="245"/>
      <c r="O1021" s="245"/>
      <c r="P1021" s="245"/>
      <c r="Q1021" s="245"/>
      <c r="R1021" s="245"/>
      <c r="S1021" s="245"/>
      <c r="T1021" s="245"/>
      <c r="U1021" s="245"/>
      <c r="V1021" s="245"/>
      <c r="W1021" s="245"/>
      <c r="X1021" s="245"/>
      <c r="Y1021" s="245"/>
      <c r="Z1021" s="245"/>
      <c r="AA1021" s="245"/>
    </row>
    <row r="1022">
      <c r="A1022" s="245"/>
      <c r="B1022" s="245"/>
      <c r="C1022" s="245"/>
      <c r="D1022" s="245"/>
      <c r="E1022" s="245"/>
      <c r="F1022" s="245"/>
      <c r="G1022" s="245"/>
      <c r="H1022" s="245"/>
      <c r="I1022" s="245"/>
      <c r="J1022" s="245"/>
      <c r="K1022" s="245"/>
      <c r="L1022" s="245"/>
      <c r="M1022" s="245"/>
      <c r="N1022" s="245"/>
      <c r="O1022" s="245"/>
      <c r="P1022" s="245"/>
      <c r="Q1022" s="245"/>
      <c r="R1022" s="245"/>
      <c r="S1022" s="245"/>
      <c r="T1022" s="245"/>
      <c r="U1022" s="245"/>
      <c r="V1022" s="245"/>
      <c r="W1022" s="245"/>
      <c r="X1022" s="245"/>
      <c r="Y1022" s="245"/>
      <c r="Z1022" s="245"/>
      <c r="AA1022" s="245"/>
    </row>
    <row r="1023">
      <c r="A1023" s="245"/>
      <c r="B1023" s="245"/>
      <c r="C1023" s="245"/>
      <c r="D1023" s="245"/>
      <c r="E1023" s="245"/>
      <c r="F1023" s="245"/>
      <c r="G1023" s="245"/>
      <c r="H1023" s="245"/>
      <c r="I1023" s="245"/>
      <c r="J1023" s="245"/>
      <c r="K1023" s="245"/>
      <c r="L1023" s="245"/>
      <c r="M1023" s="245"/>
      <c r="N1023" s="245"/>
      <c r="O1023" s="245"/>
      <c r="P1023" s="245"/>
      <c r="Q1023" s="245"/>
      <c r="R1023" s="245"/>
      <c r="S1023" s="245"/>
      <c r="T1023" s="245"/>
      <c r="U1023" s="245"/>
      <c r="V1023" s="245"/>
      <c r="W1023" s="245"/>
      <c r="X1023" s="245"/>
      <c r="Y1023" s="245"/>
      <c r="Z1023" s="245"/>
      <c r="AA1023" s="245"/>
    </row>
    <row r="1024">
      <c r="A1024" s="245"/>
      <c r="B1024" s="245"/>
      <c r="C1024" s="245"/>
      <c r="D1024" s="245"/>
      <c r="E1024" s="245"/>
      <c r="F1024" s="245"/>
      <c r="G1024" s="245"/>
      <c r="H1024" s="245"/>
      <c r="I1024" s="245"/>
      <c r="J1024" s="245"/>
      <c r="K1024" s="245"/>
      <c r="L1024" s="245"/>
      <c r="M1024" s="245"/>
      <c r="N1024" s="245"/>
      <c r="O1024" s="245"/>
      <c r="P1024" s="245"/>
      <c r="Q1024" s="245"/>
      <c r="R1024" s="245"/>
      <c r="S1024" s="245"/>
      <c r="T1024" s="245"/>
      <c r="U1024" s="245"/>
      <c r="V1024" s="245"/>
      <c r="W1024" s="245"/>
      <c r="X1024" s="245"/>
      <c r="Y1024" s="245"/>
      <c r="Z1024" s="245"/>
      <c r="AA1024" s="245"/>
    </row>
    <row r="1025">
      <c r="A1025" s="245"/>
      <c r="B1025" s="245"/>
      <c r="C1025" s="245"/>
      <c r="D1025" s="245"/>
      <c r="E1025" s="245"/>
      <c r="F1025" s="245"/>
      <c r="G1025" s="245"/>
      <c r="H1025" s="245"/>
      <c r="I1025" s="245"/>
      <c r="J1025" s="245"/>
      <c r="K1025" s="245"/>
      <c r="L1025" s="245"/>
      <c r="M1025" s="245"/>
      <c r="N1025" s="245"/>
      <c r="O1025" s="245"/>
      <c r="P1025" s="245"/>
      <c r="Q1025" s="245"/>
      <c r="R1025" s="245"/>
      <c r="S1025" s="245"/>
      <c r="T1025" s="245"/>
      <c r="U1025" s="245"/>
      <c r="V1025" s="245"/>
      <c r="W1025" s="245"/>
      <c r="X1025" s="245"/>
      <c r="Y1025" s="245"/>
      <c r="Z1025" s="245"/>
      <c r="AA1025" s="245"/>
    </row>
    <row r="1026">
      <c r="A1026" s="245"/>
      <c r="B1026" s="245"/>
      <c r="C1026" s="245"/>
      <c r="D1026" s="245"/>
      <c r="E1026" s="245"/>
      <c r="F1026" s="245"/>
      <c r="G1026" s="245"/>
      <c r="H1026" s="245"/>
      <c r="I1026" s="245"/>
      <c r="J1026" s="245"/>
      <c r="K1026" s="245"/>
      <c r="L1026" s="245"/>
      <c r="M1026" s="245"/>
      <c r="N1026" s="245"/>
      <c r="O1026" s="245"/>
      <c r="P1026" s="245"/>
      <c r="Q1026" s="245"/>
      <c r="R1026" s="245"/>
      <c r="S1026" s="245"/>
      <c r="T1026" s="245"/>
      <c r="U1026" s="245"/>
      <c r="V1026" s="245"/>
      <c r="W1026" s="245"/>
      <c r="X1026" s="245"/>
      <c r="Y1026" s="245"/>
      <c r="Z1026" s="245"/>
      <c r="AA1026" s="245"/>
    </row>
    <row r="1027">
      <c r="A1027" s="245"/>
      <c r="B1027" s="245"/>
      <c r="C1027" s="245"/>
      <c r="D1027" s="245"/>
      <c r="E1027" s="245"/>
      <c r="F1027" s="245"/>
      <c r="G1027" s="245"/>
      <c r="H1027" s="245"/>
      <c r="I1027" s="245"/>
      <c r="J1027" s="245"/>
      <c r="K1027" s="245"/>
      <c r="L1027" s="245"/>
      <c r="M1027" s="245"/>
      <c r="N1027" s="245"/>
      <c r="O1027" s="245"/>
      <c r="P1027" s="245"/>
      <c r="Q1027" s="245"/>
      <c r="R1027" s="245"/>
      <c r="S1027" s="245"/>
      <c r="T1027" s="245"/>
      <c r="U1027" s="245"/>
      <c r="V1027" s="245"/>
      <c r="W1027" s="245"/>
      <c r="X1027" s="245"/>
      <c r="Y1027" s="245"/>
      <c r="Z1027" s="245"/>
      <c r="AA1027" s="245"/>
    </row>
  </sheetData>
  <mergeCells count="111">
    <mergeCell ref="B4:B6"/>
    <mergeCell ref="C4:C6"/>
    <mergeCell ref="D4:D6"/>
    <mergeCell ref="E4:E6"/>
    <mergeCell ref="F4:F6"/>
    <mergeCell ref="G4:G6"/>
    <mergeCell ref="H4:H6"/>
    <mergeCell ref="G8:G9"/>
    <mergeCell ref="H8:H9"/>
    <mergeCell ref="A4:A6"/>
    <mergeCell ref="A8:A9"/>
    <mergeCell ref="B8:B9"/>
    <mergeCell ref="C8:C9"/>
    <mergeCell ref="D8:D9"/>
    <mergeCell ref="E8:E9"/>
    <mergeCell ref="F8:F9"/>
    <mergeCell ref="B11:B12"/>
    <mergeCell ref="C11:C12"/>
    <mergeCell ref="D11:D12"/>
    <mergeCell ref="E11:E12"/>
    <mergeCell ref="F11:F12"/>
    <mergeCell ref="G11:G12"/>
    <mergeCell ref="H11:H12"/>
    <mergeCell ref="O14:O17"/>
    <mergeCell ref="Q14:Q17"/>
    <mergeCell ref="R14:R17"/>
    <mergeCell ref="G14:G17"/>
    <mergeCell ref="H14:H17"/>
    <mergeCell ref="J14:J17"/>
    <mergeCell ref="K14:K17"/>
    <mergeCell ref="L14:L17"/>
    <mergeCell ref="M14:M17"/>
    <mergeCell ref="N14:N17"/>
    <mergeCell ref="A11:A12"/>
    <mergeCell ref="A14:A17"/>
    <mergeCell ref="B14:B17"/>
    <mergeCell ref="C14:C17"/>
    <mergeCell ref="D14:D17"/>
    <mergeCell ref="E14:E17"/>
    <mergeCell ref="F14:F17"/>
    <mergeCell ref="B30:B31"/>
    <mergeCell ref="C30:C31"/>
    <mergeCell ref="D30:D31"/>
    <mergeCell ref="E30:E31"/>
    <mergeCell ref="F30:F31"/>
    <mergeCell ref="G30:G31"/>
    <mergeCell ref="H30:H31"/>
    <mergeCell ref="H37:H38"/>
    <mergeCell ref="J37:J38"/>
    <mergeCell ref="K37:K38"/>
    <mergeCell ref="O37:O38"/>
    <mergeCell ref="P37:P38"/>
    <mergeCell ref="Q37:Q38"/>
    <mergeCell ref="R37:R38"/>
    <mergeCell ref="S37:S38"/>
    <mergeCell ref="A40:A41"/>
    <mergeCell ref="B40:B41"/>
    <mergeCell ref="C40:C41"/>
    <mergeCell ref="D40:D41"/>
    <mergeCell ref="E40:E41"/>
    <mergeCell ref="F40:F41"/>
    <mergeCell ref="G40:G41"/>
    <mergeCell ref="A37:A38"/>
    <mergeCell ref="B37:B38"/>
    <mergeCell ref="C37:C38"/>
    <mergeCell ref="D37:D38"/>
    <mergeCell ref="E37:E38"/>
    <mergeCell ref="F37:F38"/>
    <mergeCell ref="G37:G38"/>
    <mergeCell ref="H33:H35"/>
    <mergeCell ref="G33:G35"/>
    <mergeCell ref="F33:F35"/>
    <mergeCell ref="E33:E35"/>
    <mergeCell ref="D33:D35"/>
    <mergeCell ref="C33:C35"/>
    <mergeCell ref="B33:B35"/>
    <mergeCell ref="A33:A35"/>
    <mergeCell ref="A30:A31"/>
    <mergeCell ref="B19:B20"/>
    <mergeCell ref="C19:C20"/>
    <mergeCell ref="D19:D20"/>
    <mergeCell ref="E19:E20"/>
    <mergeCell ref="F19:F20"/>
    <mergeCell ref="G19:G20"/>
    <mergeCell ref="H19:H20"/>
    <mergeCell ref="G21:G23"/>
    <mergeCell ref="H21:H23"/>
    <mergeCell ref="A19:A20"/>
    <mergeCell ref="A21:A23"/>
    <mergeCell ref="B21:B23"/>
    <mergeCell ref="C21:C23"/>
    <mergeCell ref="D21:D23"/>
    <mergeCell ref="E21:E23"/>
    <mergeCell ref="F21:F23"/>
    <mergeCell ref="B24:B26"/>
    <mergeCell ref="C24:C26"/>
    <mergeCell ref="D24:D26"/>
    <mergeCell ref="E24:E26"/>
    <mergeCell ref="F24:F26"/>
    <mergeCell ref="G24:G26"/>
    <mergeCell ref="H24:H26"/>
    <mergeCell ref="G27:G28"/>
    <mergeCell ref="H27:H28"/>
    <mergeCell ref="R27:R28"/>
    <mergeCell ref="A24:A26"/>
    <mergeCell ref="A27:A28"/>
    <mergeCell ref="B27:B28"/>
    <mergeCell ref="C27:C28"/>
    <mergeCell ref="D27:D28"/>
    <mergeCell ref="E27:E28"/>
    <mergeCell ref="F27:F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3" max="3" width="25.25"/>
    <col customWidth="1" min="4" max="5" width="27.13"/>
    <col customWidth="1" min="8" max="8" width="29.63"/>
    <col customWidth="1" min="9" max="9" width="26.38"/>
    <col customWidth="1" min="15" max="15" width="22.88"/>
  </cols>
  <sheetData>
    <row r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5"/>
      <c r="U1" s="245"/>
      <c r="V1" s="245"/>
      <c r="W1" s="245"/>
      <c r="X1" s="245"/>
      <c r="Y1" s="245"/>
      <c r="Z1" s="245"/>
      <c r="AA1" s="245"/>
    </row>
    <row r="2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5"/>
      <c r="U2" s="245"/>
      <c r="V2" s="245"/>
      <c r="W2" s="245"/>
      <c r="X2" s="245"/>
      <c r="Y2" s="245"/>
      <c r="Z2" s="245"/>
      <c r="AA2" s="245"/>
    </row>
    <row r="3">
      <c r="A3" s="346" t="s">
        <v>2</v>
      </c>
      <c r="B3" s="346" t="s">
        <v>3</v>
      </c>
      <c r="C3" s="346" t="s">
        <v>4</v>
      </c>
      <c r="D3" s="346" t="s">
        <v>5</v>
      </c>
      <c r="E3" s="347" t="s">
        <v>6</v>
      </c>
      <c r="F3" s="346" t="s">
        <v>7</v>
      </c>
      <c r="G3" s="346" t="s">
        <v>822</v>
      </c>
      <c r="H3" s="346" t="s">
        <v>9</v>
      </c>
      <c r="I3" s="348" t="s">
        <v>10</v>
      </c>
      <c r="J3" s="346" t="s">
        <v>110</v>
      </c>
      <c r="K3" s="346" t="s">
        <v>12</v>
      </c>
      <c r="L3" s="346" t="s">
        <v>823</v>
      </c>
      <c r="M3" s="346" t="s">
        <v>824</v>
      </c>
      <c r="N3" s="346" t="s">
        <v>825</v>
      </c>
      <c r="O3" s="346" t="s">
        <v>16</v>
      </c>
      <c r="P3" s="346" t="s">
        <v>17</v>
      </c>
      <c r="Q3" s="346" t="s">
        <v>18</v>
      </c>
      <c r="R3" s="346" t="s">
        <v>19</v>
      </c>
      <c r="S3" s="349" t="s">
        <v>826</v>
      </c>
      <c r="T3" s="350"/>
      <c r="U3" s="350"/>
      <c r="V3" s="350"/>
      <c r="W3" s="350"/>
      <c r="X3" s="350"/>
      <c r="Y3" s="245"/>
      <c r="Z3" s="245"/>
      <c r="AA3" s="245"/>
    </row>
    <row r="4">
      <c r="A4" s="351">
        <v>1.0</v>
      </c>
      <c r="B4" s="352" t="s">
        <v>827</v>
      </c>
      <c r="C4" s="353" t="s">
        <v>828</v>
      </c>
      <c r="D4" s="353" t="s">
        <v>829</v>
      </c>
      <c r="E4" s="354" t="s">
        <v>829</v>
      </c>
      <c r="F4" s="353" t="s">
        <v>138</v>
      </c>
      <c r="G4" s="355" t="s">
        <v>830</v>
      </c>
      <c r="H4" s="353" t="s">
        <v>831</v>
      </c>
      <c r="I4" s="304" t="s">
        <v>832</v>
      </c>
      <c r="J4" s="352" t="s">
        <v>142</v>
      </c>
      <c r="K4" s="352" t="s">
        <v>833</v>
      </c>
      <c r="L4" s="344">
        <v>46023.0</v>
      </c>
      <c r="M4" s="344">
        <v>46387.0</v>
      </c>
      <c r="N4" s="356">
        <f>INT(NETWORKDAYS(L8,M8)/5)</f>
        <v>52</v>
      </c>
      <c r="O4" s="297" t="s">
        <v>834</v>
      </c>
      <c r="P4" s="353" t="s">
        <v>792</v>
      </c>
      <c r="Q4" s="284"/>
      <c r="R4" s="284"/>
      <c r="S4" s="284"/>
      <c r="T4" s="245"/>
      <c r="U4" s="245"/>
      <c r="V4" s="245"/>
      <c r="W4" s="245"/>
      <c r="X4" s="245"/>
      <c r="Y4" s="245"/>
      <c r="Z4" s="245"/>
      <c r="AA4" s="245"/>
    </row>
    <row r="5">
      <c r="A5" s="26"/>
      <c r="B5" s="26"/>
      <c r="C5" s="26"/>
      <c r="D5" s="26"/>
      <c r="E5" s="26"/>
      <c r="F5" s="26"/>
      <c r="G5" s="26"/>
      <c r="H5" s="26"/>
      <c r="I5" s="304" t="s">
        <v>835</v>
      </c>
      <c r="J5" s="26"/>
      <c r="K5" s="26"/>
      <c r="L5" s="344">
        <v>46023.0</v>
      </c>
      <c r="M5" s="344">
        <v>46387.0</v>
      </c>
      <c r="N5" s="26"/>
      <c r="O5" s="297" t="s">
        <v>834</v>
      </c>
      <c r="P5" s="26"/>
      <c r="Q5" s="284"/>
      <c r="R5" s="284"/>
      <c r="S5" s="284"/>
      <c r="T5" s="245"/>
      <c r="U5" s="245"/>
      <c r="V5" s="245"/>
      <c r="W5" s="245"/>
      <c r="X5" s="245"/>
      <c r="Y5" s="245"/>
      <c r="Z5" s="245"/>
      <c r="AA5" s="245"/>
    </row>
    <row r="6">
      <c r="A6" s="351">
        <v>2.0</v>
      </c>
      <c r="B6" s="352" t="s">
        <v>836</v>
      </c>
      <c r="C6" s="353" t="s">
        <v>837</v>
      </c>
      <c r="D6" s="353" t="s">
        <v>838</v>
      </c>
      <c r="E6" s="357" t="s">
        <v>838</v>
      </c>
      <c r="F6" s="353" t="s">
        <v>138</v>
      </c>
      <c r="G6" s="355" t="s">
        <v>830</v>
      </c>
      <c r="H6" s="353" t="s">
        <v>839</v>
      </c>
      <c r="I6" s="297" t="s">
        <v>840</v>
      </c>
      <c r="J6" s="352" t="s">
        <v>142</v>
      </c>
      <c r="K6" s="352" t="s">
        <v>833</v>
      </c>
      <c r="L6" s="344">
        <v>46023.0</v>
      </c>
      <c r="M6" s="344">
        <v>46387.0</v>
      </c>
      <c r="N6" s="326" t="str">
        <f t="shared" ref="N6:N7" si="1">INT(NETWORKDAYS(#REF!,#REF!)/5)</f>
        <v>#REF!</v>
      </c>
      <c r="O6" s="297" t="s">
        <v>841</v>
      </c>
      <c r="P6" s="304" t="s">
        <v>792</v>
      </c>
      <c r="Q6" s="284"/>
      <c r="R6" s="284"/>
      <c r="S6" s="284"/>
      <c r="T6" s="245"/>
      <c r="U6" s="245"/>
      <c r="V6" s="245"/>
      <c r="W6" s="245"/>
      <c r="X6" s="245"/>
      <c r="Y6" s="245"/>
      <c r="Z6" s="245"/>
      <c r="AA6" s="245"/>
    </row>
    <row r="7">
      <c r="A7" s="26"/>
      <c r="B7" s="26"/>
      <c r="C7" s="26"/>
      <c r="D7" s="26"/>
      <c r="E7" s="24"/>
      <c r="F7" s="26"/>
      <c r="G7" s="26"/>
      <c r="H7" s="26"/>
      <c r="I7" s="297" t="s">
        <v>842</v>
      </c>
      <c r="J7" s="26"/>
      <c r="K7" s="26"/>
      <c r="L7" s="344">
        <v>46023.0</v>
      </c>
      <c r="M7" s="344">
        <v>46387.0</v>
      </c>
      <c r="N7" s="326" t="str">
        <f t="shared" si="1"/>
        <v>#REF!</v>
      </c>
      <c r="O7" s="297" t="s">
        <v>843</v>
      </c>
      <c r="P7" s="284"/>
      <c r="Q7" s="284"/>
      <c r="R7" s="284"/>
      <c r="S7" s="284"/>
      <c r="T7" s="245"/>
      <c r="U7" s="245"/>
      <c r="V7" s="245"/>
      <c r="W7" s="245"/>
      <c r="X7" s="245"/>
      <c r="Y7" s="245"/>
      <c r="Z7" s="245"/>
      <c r="AA7" s="245"/>
    </row>
    <row r="8" ht="120.0" customHeight="1">
      <c r="A8" s="343">
        <v>3.0</v>
      </c>
      <c r="B8" s="358" t="s">
        <v>844</v>
      </c>
      <c r="C8" s="304" t="s">
        <v>845</v>
      </c>
      <c r="D8" s="304" t="s">
        <v>846</v>
      </c>
      <c r="E8" s="359" t="s">
        <v>847</v>
      </c>
      <c r="F8" s="297" t="s">
        <v>848</v>
      </c>
      <c r="G8" s="360" t="s">
        <v>849</v>
      </c>
      <c r="H8" s="297" t="s">
        <v>850</v>
      </c>
      <c r="I8" s="297" t="s">
        <v>851</v>
      </c>
      <c r="J8" s="358" t="s">
        <v>142</v>
      </c>
      <c r="K8" s="284"/>
      <c r="L8" s="344">
        <v>46023.0</v>
      </c>
      <c r="M8" s="344">
        <v>46387.0</v>
      </c>
      <c r="N8" s="326">
        <f>INT(NETWORKDAYS(L11,M11)/5)</f>
        <v>0</v>
      </c>
      <c r="O8" s="284"/>
      <c r="P8" s="284"/>
      <c r="Q8" s="284"/>
      <c r="R8" s="284"/>
      <c r="S8" s="284"/>
      <c r="T8" s="245"/>
      <c r="U8" s="245"/>
      <c r="V8" s="245"/>
      <c r="W8" s="245"/>
      <c r="X8" s="245"/>
      <c r="Y8" s="245"/>
      <c r="Z8" s="245"/>
      <c r="AA8" s="245"/>
    </row>
    <row r="9">
      <c r="A9" s="343">
        <v>4.0</v>
      </c>
      <c r="B9" s="358" t="s">
        <v>852</v>
      </c>
      <c r="C9" s="304" t="s">
        <v>853</v>
      </c>
      <c r="D9" s="304" t="s">
        <v>853</v>
      </c>
      <c r="E9" s="361" t="s">
        <v>854</v>
      </c>
      <c r="F9" s="362" t="s">
        <v>855</v>
      </c>
      <c r="G9" s="362" t="s">
        <v>615</v>
      </c>
      <c r="H9" s="297" t="s">
        <v>856</v>
      </c>
      <c r="I9" s="297" t="s">
        <v>857</v>
      </c>
      <c r="J9" s="358" t="s">
        <v>618</v>
      </c>
      <c r="K9" s="358" t="s">
        <v>618</v>
      </c>
      <c r="L9" s="344">
        <v>46023.0</v>
      </c>
      <c r="M9" s="344">
        <v>46387.0</v>
      </c>
      <c r="N9" s="326">
        <f>INT(NETWORKDAYS(L9,M9)/5)</f>
        <v>52</v>
      </c>
      <c r="O9" s="363" t="s">
        <v>858</v>
      </c>
      <c r="P9" s="359" t="s">
        <v>859</v>
      </c>
      <c r="Q9" s="359" t="s">
        <v>792</v>
      </c>
      <c r="R9" s="284"/>
      <c r="S9" s="284"/>
      <c r="T9" s="245"/>
      <c r="U9" s="245"/>
      <c r="V9" s="245"/>
      <c r="W9" s="245"/>
      <c r="X9" s="245"/>
      <c r="Y9" s="245"/>
      <c r="Z9" s="245"/>
      <c r="AA9" s="245"/>
    </row>
    <row r="10" ht="77.25" customHeight="1">
      <c r="A10" s="351">
        <v>5.0</v>
      </c>
      <c r="B10" s="352" t="s">
        <v>844</v>
      </c>
      <c r="C10" s="353" t="s">
        <v>845</v>
      </c>
      <c r="D10" s="353" t="s">
        <v>860</v>
      </c>
      <c r="E10" s="353" t="s">
        <v>860</v>
      </c>
      <c r="F10" s="355" t="s">
        <v>861</v>
      </c>
      <c r="G10" s="355" t="s">
        <v>830</v>
      </c>
      <c r="H10" s="353" t="s">
        <v>862</v>
      </c>
      <c r="I10" s="304" t="s">
        <v>863</v>
      </c>
      <c r="J10" s="364" t="s">
        <v>55</v>
      </c>
      <c r="K10" s="364" t="s">
        <v>142</v>
      </c>
      <c r="L10" s="325">
        <v>46054.0</v>
      </c>
      <c r="M10" s="325">
        <v>46203.0</v>
      </c>
      <c r="N10" s="365">
        <v>20.0</v>
      </c>
      <c r="O10" s="366" t="s">
        <v>864</v>
      </c>
      <c r="P10" s="367" t="s">
        <v>865</v>
      </c>
      <c r="Q10" s="367" t="s">
        <v>89</v>
      </c>
      <c r="R10" s="368"/>
      <c r="S10" s="368"/>
      <c r="T10" s="245"/>
      <c r="U10" s="245"/>
      <c r="V10" s="245"/>
      <c r="W10" s="245"/>
      <c r="X10" s="245"/>
      <c r="Y10" s="245"/>
      <c r="Z10" s="245"/>
      <c r="AA10" s="245"/>
    </row>
    <row r="11" ht="72.0" customHeight="1">
      <c r="A11" s="24"/>
      <c r="B11" s="24"/>
      <c r="C11" s="24"/>
      <c r="D11" s="24"/>
      <c r="E11" s="24"/>
      <c r="F11" s="24"/>
      <c r="G11" s="24"/>
      <c r="H11" s="24"/>
      <c r="I11" s="304" t="s">
        <v>866</v>
      </c>
      <c r="J11" s="364" t="s">
        <v>55</v>
      </c>
      <c r="K11" s="364" t="s">
        <v>867</v>
      </c>
      <c r="L11" s="325">
        <v>46113.0</v>
      </c>
      <c r="M11" s="325">
        <v>46115.0</v>
      </c>
      <c r="N11" s="365">
        <v>1.0</v>
      </c>
      <c r="O11" s="366" t="s">
        <v>868</v>
      </c>
      <c r="P11" s="367" t="s">
        <v>869</v>
      </c>
      <c r="Q11" s="367" t="s">
        <v>89</v>
      </c>
      <c r="R11" s="368"/>
      <c r="S11" s="368"/>
      <c r="T11" s="245"/>
      <c r="U11" s="245"/>
      <c r="V11" s="245"/>
      <c r="W11" s="245"/>
      <c r="X11" s="245"/>
      <c r="Y11" s="245"/>
      <c r="Z11" s="245"/>
      <c r="AA11" s="245"/>
    </row>
    <row r="12" ht="75.75" customHeight="1">
      <c r="A12" s="26"/>
      <c r="B12" s="26"/>
      <c r="C12" s="26"/>
      <c r="D12" s="26"/>
      <c r="E12" s="26"/>
      <c r="F12" s="26"/>
      <c r="G12" s="26"/>
      <c r="H12" s="26"/>
      <c r="I12" s="304" t="s">
        <v>870</v>
      </c>
      <c r="J12" s="364" t="s">
        <v>55</v>
      </c>
      <c r="K12" s="364" t="s">
        <v>867</v>
      </c>
      <c r="L12" s="325">
        <v>46146.0</v>
      </c>
      <c r="M12" s="325">
        <v>46193.0</v>
      </c>
      <c r="N12" s="365">
        <v>6.0</v>
      </c>
      <c r="O12" s="366" t="s">
        <v>871</v>
      </c>
      <c r="P12" s="367" t="s">
        <v>872</v>
      </c>
      <c r="Q12" s="367" t="s">
        <v>89</v>
      </c>
      <c r="R12" s="368"/>
      <c r="S12" s="368"/>
      <c r="T12" s="245"/>
      <c r="U12" s="245"/>
      <c r="V12" s="245"/>
      <c r="W12" s="245"/>
      <c r="X12" s="245"/>
      <c r="Y12" s="245"/>
      <c r="Z12" s="245"/>
      <c r="AA12" s="245"/>
    </row>
    <row r="13">
      <c r="A13" s="245"/>
      <c r="B13" s="345" t="s">
        <v>106</v>
      </c>
      <c r="C13" s="244"/>
      <c r="D13" s="345" t="s">
        <v>107</v>
      </c>
      <c r="E13" s="345"/>
      <c r="F13" s="245"/>
      <c r="G13" s="245"/>
      <c r="H13" s="245"/>
      <c r="I13" s="244"/>
      <c r="J13" s="245"/>
      <c r="K13" s="245"/>
      <c r="L13" s="369"/>
      <c r="M13" s="369"/>
      <c r="N13" s="245"/>
      <c r="O13" s="370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</row>
    <row r="14">
      <c r="A14" s="245"/>
      <c r="B14" s="245"/>
      <c r="C14" s="245"/>
      <c r="D14" s="245"/>
      <c r="E14" s="245"/>
      <c r="F14" s="245"/>
      <c r="G14" s="245"/>
      <c r="H14" s="245"/>
      <c r="I14" s="244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</row>
    <row r="15">
      <c r="A15" s="245"/>
      <c r="B15" s="245"/>
      <c r="C15" s="245"/>
      <c r="D15" s="245"/>
      <c r="E15" s="245"/>
      <c r="F15" s="245"/>
      <c r="G15" s="245"/>
      <c r="H15" s="245"/>
      <c r="I15" s="244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</row>
    <row r="16">
      <c r="A16" s="245"/>
      <c r="B16" s="245"/>
      <c r="C16" s="245"/>
      <c r="D16" s="245"/>
      <c r="E16" s="245"/>
      <c r="F16" s="245"/>
      <c r="G16" s="245"/>
      <c r="H16" s="245"/>
      <c r="I16" s="244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</row>
    <row r="17">
      <c r="A17" s="245"/>
      <c r="B17" s="245"/>
      <c r="C17" s="245"/>
      <c r="D17" s="245"/>
      <c r="E17" s="245"/>
      <c r="F17" s="245"/>
      <c r="G17" s="245"/>
      <c r="H17" s="245"/>
      <c r="I17" s="244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</row>
    <row r="18">
      <c r="A18" s="245"/>
      <c r="B18" s="245"/>
      <c r="C18" s="245"/>
      <c r="D18" s="245"/>
      <c r="E18" s="245"/>
      <c r="F18" s="245"/>
      <c r="G18" s="245"/>
      <c r="H18" s="245"/>
      <c r="I18" s="244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</row>
    <row r="19">
      <c r="A19" s="245"/>
      <c r="B19" s="245"/>
      <c r="C19" s="245"/>
      <c r="D19" s="245"/>
      <c r="E19" s="245"/>
      <c r="F19" s="245"/>
      <c r="G19" s="245"/>
      <c r="H19" s="245"/>
      <c r="I19" s="244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</row>
    <row r="20">
      <c r="A20" s="245"/>
      <c r="B20" s="245"/>
      <c r="C20" s="245"/>
      <c r="D20" s="245"/>
      <c r="E20" s="245"/>
      <c r="F20" s="245"/>
      <c r="G20" s="245"/>
      <c r="H20" s="245"/>
      <c r="I20" s="244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</row>
    <row r="21">
      <c r="A21" s="245"/>
      <c r="B21" s="245"/>
      <c r="C21" s="245"/>
      <c r="D21" s="245"/>
      <c r="E21" s="245"/>
      <c r="F21" s="245"/>
      <c r="G21" s="245"/>
      <c r="H21" s="245"/>
      <c r="I21" s="244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</row>
    <row r="22">
      <c r="A22" s="245"/>
      <c r="B22" s="245"/>
      <c r="C22" s="245"/>
      <c r="D22" s="245"/>
      <c r="E22" s="245"/>
      <c r="F22" s="245"/>
      <c r="G22" s="245"/>
      <c r="H22" s="245"/>
      <c r="I22" s="244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</row>
    <row r="23">
      <c r="A23" s="245"/>
      <c r="B23" s="245"/>
      <c r="C23" s="245"/>
      <c r="D23" s="245"/>
      <c r="E23" s="245"/>
      <c r="F23" s="245"/>
      <c r="G23" s="245"/>
      <c r="H23" s="245"/>
      <c r="I23" s="244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</row>
    <row r="24">
      <c r="A24" s="245"/>
      <c r="B24" s="245"/>
      <c r="C24" s="245"/>
      <c r="D24" s="245"/>
      <c r="E24" s="245"/>
      <c r="F24" s="245"/>
      <c r="G24" s="245"/>
      <c r="H24" s="245"/>
      <c r="I24" s="244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</row>
    <row r="25">
      <c r="A25" s="245"/>
      <c r="B25" s="245"/>
      <c r="C25" s="245"/>
      <c r="D25" s="245"/>
      <c r="E25" s="245"/>
      <c r="F25" s="245"/>
      <c r="G25" s="245"/>
      <c r="H25" s="245"/>
      <c r="I25" s="244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</row>
    <row r="26">
      <c r="A26" s="245"/>
      <c r="B26" s="245"/>
      <c r="C26" s="245"/>
      <c r="D26" s="245"/>
      <c r="E26" s="245"/>
      <c r="F26" s="245"/>
      <c r="G26" s="245"/>
      <c r="H26" s="245"/>
      <c r="I26" s="244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</row>
    <row r="27">
      <c r="A27" s="245"/>
      <c r="B27" s="245"/>
      <c r="C27" s="245"/>
      <c r="D27" s="245"/>
      <c r="E27" s="245"/>
      <c r="F27" s="245"/>
      <c r="G27" s="245"/>
      <c r="H27" s="245"/>
      <c r="I27" s="244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</row>
    <row r="28">
      <c r="A28" s="245"/>
      <c r="B28" s="245"/>
      <c r="C28" s="245"/>
      <c r="D28" s="245"/>
      <c r="E28" s="245"/>
      <c r="F28" s="245"/>
      <c r="G28" s="245"/>
      <c r="H28" s="245"/>
      <c r="I28" s="244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</row>
    <row r="29">
      <c r="A29" s="245"/>
      <c r="B29" s="245"/>
      <c r="C29" s="245"/>
      <c r="D29" s="245"/>
      <c r="E29" s="245"/>
      <c r="F29" s="245"/>
      <c r="G29" s="245"/>
      <c r="H29" s="245"/>
      <c r="I29" s="244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</row>
    <row r="30">
      <c r="A30" s="245"/>
      <c r="B30" s="245"/>
      <c r="C30" s="245"/>
      <c r="D30" s="245"/>
      <c r="E30" s="245"/>
      <c r="F30" s="245"/>
      <c r="G30" s="245"/>
      <c r="H30" s="245"/>
      <c r="I30" s="244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</row>
    <row r="31">
      <c r="A31" s="245"/>
      <c r="B31" s="245"/>
      <c r="C31" s="245"/>
      <c r="D31" s="245"/>
      <c r="E31" s="245"/>
      <c r="F31" s="245"/>
      <c r="G31" s="245"/>
      <c r="H31" s="245"/>
      <c r="I31" s="244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</row>
    <row r="32">
      <c r="A32" s="245"/>
      <c r="B32" s="245"/>
      <c r="C32" s="245"/>
      <c r="D32" s="245"/>
      <c r="E32" s="245"/>
      <c r="F32" s="245"/>
      <c r="G32" s="245"/>
      <c r="H32" s="245"/>
      <c r="I32" s="244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</row>
    <row r="33">
      <c r="A33" s="245"/>
      <c r="B33" s="245"/>
      <c r="C33" s="245"/>
      <c r="D33" s="245"/>
      <c r="E33" s="245"/>
      <c r="F33" s="245"/>
      <c r="G33" s="245"/>
      <c r="H33" s="245"/>
      <c r="I33" s="244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</row>
    <row r="34">
      <c r="A34" s="245"/>
      <c r="B34" s="245"/>
      <c r="C34" s="245"/>
      <c r="D34" s="245"/>
      <c r="E34" s="245"/>
      <c r="F34" s="245"/>
      <c r="G34" s="245"/>
      <c r="H34" s="245"/>
      <c r="I34" s="244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</row>
    <row r="35">
      <c r="A35" s="245"/>
      <c r="B35" s="245"/>
      <c r="C35" s="245"/>
      <c r="D35" s="245"/>
      <c r="E35" s="245"/>
      <c r="F35" s="245"/>
      <c r="G35" s="245"/>
      <c r="H35" s="245"/>
      <c r="I35" s="244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</row>
    <row r="36">
      <c r="A36" s="245"/>
      <c r="B36" s="245"/>
      <c r="C36" s="245"/>
      <c r="D36" s="245"/>
      <c r="E36" s="245"/>
      <c r="F36" s="245"/>
      <c r="G36" s="245"/>
      <c r="H36" s="245"/>
      <c r="I36" s="244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</row>
    <row r="37">
      <c r="A37" s="245"/>
      <c r="B37" s="245"/>
      <c r="C37" s="245"/>
      <c r="D37" s="245"/>
      <c r="E37" s="245"/>
      <c r="F37" s="245"/>
      <c r="G37" s="245"/>
      <c r="H37" s="245"/>
      <c r="I37" s="244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</row>
    <row r="38">
      <c r="A38" s="245"/>
      <c r="B38" s="245"/>
      <c r="C38" s="245"/>
      <c r="D38" s="245"/>
      <c r="E38" s="245"/>
      <c r="F38" s="245"/>
      <c r="G38" s="245"/>
      <c r="H38" s="245"/>
      <c r="I38" s="244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</row>
    <row r="39">
      <c r="A39" s="245"/>
      <c r="B39" s="245"/>
      <c r="C39" s="245"/>
      <c r="D39" s="245"/>
      <c r="E39" s="245"/>
      <c r="F39" s="245"/>
      <c r="G39" s="245"/>
      <c r="H39" s="245"/>
      <c r="I39" s="244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</row>
    <row r="40">
      <c r="A40" s="245"/>
      <c r="B40" s="245"/>
      <c r="C40" s="245"/>
      <c r="D40" s="245"/>
      <c r="E40" s="245"/>
      <c r="F40" s="245"/>
      <c r="G40" s="245"/>
      <c r="H40" s="245"/>
      <c r="I40" s="244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</row>
    <row r="41">
      <c r="A41" s="245"/>
      <c r="B41" s="245"/>
      <c r="C41" s="245"/>
      <c r="D41" s="245"/>
      <c r="E41" s="245"/>
      <c r="F41" s="245"/>
      <c r="G41" s="245"/>
      <c r="H41" s="245"/>
      <c r="I41" s="244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</row>
    <row r="42">
      <c r="A42" s="245"/>
      <c r="B42" s="245"/>
      <c r="C42" s="245"/>
      <c r="D42" s="245"/>
      <c r="E42" s="245"/>
      <c r="F42" s="245"/>
      <c r="G42" s="245"/>
      <c r="H42" s="245"/>
      <c r="I42" s="244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</row>
    <row r="43">
      <c r="A43" s="245"/>
      <c r="B43" s="245"/>
      <c r="C43" s="245"/>
      <c r="D43" s="245"/>
      <c r="E43" s="245"/>
      <c r="F43" s="245"/>
      <c r="G43" s="245"/>
      <c r="H43" s="245"/>
      <c r="I43" s="244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</row>
    <row r="44">
      <c r="A44" s="245"/>
      <c r="B44" s="245"/>
      <c r="C44" s="245"/>
      <c r="D44" s="245"/>
      <c r="E44" s="245"/>
      <c r="F44" s="245"/>
      <c r="G44" s="245"/>
      <c r="H44" s="245"/>
      <c r="I44" s="244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</row>
    <row r="45">
      <c r="A45" s="245"/>
      <c r="B45" s="245"/>
      <c r="C45" s="245"/>
      <c r="D45" s="245"/>
      <c r="E45" s="245"/>
      <c r="F45" s="245"/>
      <c r="G45" s="245"/>
      <c r="H45" s="245"/>
      <c r="I45" s="244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</row>
    <row r="46">
      <c r="A46" s="245"/>
      <c r="B46" s="245"/>
      <c r="C46" s="245"/>
      <c r="D46" s="245"/>
      <c r="E46" s="245"/>
      <c r="F46" s="245"/>
      <c r="G46" s="245"/>
      <c r="H46" s="245"/>
      <c r="I46" s="244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</row>
    <row r="47">
      <c r="A47" s="245"/>
      <c r="B47" s="245"/>
      <c r="C47" s="245"/>
      <c r="D47" s="245"/>
      <c r="E47" s="245"/>
      <c r="F47" s="245"/>
      <c r="G47" s="245"/>
      <c r="H47" s="245"/>
      <c r="I47" s="244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</row>
    <row r="48">
      <c r="A48" s="245"/>
      <c r="B48" s="245"/>
      <c r="C48" s="245"/>
      <c r="D48" s="245"/>
      <c r="E48" s="245"/>
      <c r="F48" s="245"/>
      <c r="G48" s="245"/>
      <c r="H48" s="245"/>
      <c r="I48" s="244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</row>
    <row r="49">
      <c r="A49" s="245"/>
      <c r="B49" s="245"/>
      <c r="C49" s="245"/>
      <c r="D49" s="245"/>
      <c r="E49" s="245"/>
      <c r="F49" s="245"/>
      <c r="G49" s="245"/>
      <c r="H49" s="245"/>
      <c r="I49" s="244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</row>
    <row r="50">
      <c r="A50" s="245"/>
      <c r="B50" s="245"/>
      <c r="C50" s="245"/>
      <c r="D50" s="245"/>
      <c r="E50" s="245"/>
      <c r="F50" s="245"/>
      <c r="G50" s="245"/>
      <c r="H50" s="245"/>
      <c r="I50" s="244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</row>
    <row r="51">
      <c r="A51" s="245"/>
      <c r="B51" s="245"/>
      <c r="C51" s="245"/>
      <c r="D51" s="245"/>
      <c r="E51" s="245"/>
      <c r="F51" s="245"/>
      <c r="G51" s="245"/>
      <c r="H51" s="245"/>
      <c r="I51" s="244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</row>
    <row r="52">
      <c r="A52" s="245"/>
      <c r="B52" s="245"/>
      <c r="C52" s="245"/>
      <c r="D52" s="245"/>
      <c r="E52" s="245"/>
      <c r="F52" s="245"/>
      <c r="G52" s="245"/>
      <c r="H52" s="245"/>
      <c r="I52" s="244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</row>
    <row r="53">
      <c r="A53" s="245"/>
      <c r="B53" s="245"/>
      <c r="C53" s="245"/>
      <c r="D53" s="245"/>
      <c r="E53" s="245"/>
      <c r="F53" s="245"/>
      <c r="G53" s="245"/>
      <c r="H53" s="245"/>
      <c r="I53" s="244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</row>
    <row r="54">
      <c r="A54" s="245"/>
      <c r="B54" s="245"/>
      <c r="C54" s="245"/>
      <c r="D54" s="245"/>
      <c r="E54" s="245"/>
      <c r="F54" s="245"/>
      <c r="G54" s="245"/>
      <c r="H54" s="245"/>
      <c r="I54" s="244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</row>
    <row r="55">
      <c r="A55" s="245"/>
      <c r="B55" s="245"/>
      <c r="C55" s="245"/>
      <c r="D55" s="245"/>
      <c r="E55" s="245"/>
      <c r="F55" s="245"/>
      <c r="G55" s="245"/>
      <c r="H55" s="245"/>
      <c r="I55" s="244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</row>
    <row r="56">
      <c r="A56" s="245"/>
      <c r="B56" s="245"/>
      <c r="C56" s="245"/>
      <c r="D56" s="245"/>
      <c r="E56" s="245"/>
      <c r="F56" s="245"/>
      <c r="G56" s="245"/>
      <c r="H56" s="245"/>
      <c r="I56" s="244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</row>
    <row r="57">
      <c r="A57" s="245"/>
      <c r="B57" s="245"/>
      <c r="C57" s="245"/>
      <c r="D57" s="245"/>
      <c r="E57" s="245"/>
      <c r="F57" s="245"/>
      <c r="G57" s="245"/>
      <c r="H57" s="245"/>
      <c r="I57" s="244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</row>
    <row r="58">
      <c r="A58" s="245"/>
      <c r="B58" s="245"/>
      <c r="C58" s="245"/>
      <c r="D58" s="245"/>
      <c r="E58" s="245"/>
      <c r="F58" s="245"/>
      <c r="G58" s="245"/>
      <c r="H58" s="245"/>
      <c r="I58" s="244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</row>
    <row r="59">
      <c r="A59" s="245"/>
      <c r="B59" s="245"/>
      <c r="C59" s="245"/>
      <c r="D59" s="245"/>
      <c r="E59" s="245"/>
      <c r="F59" s="245"/>
      <c r="G59" s="245"/>
      <c r="H59" s="245"/>
      <c r="I59" s="244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</row>
    <row r="60">
      <c r="A60" s="245"/>
      <c r="B60" s="245"/>
      <c r="C60" s="245"/>
      <c r="D60" s="245"/>
      <c r="E60" s="245"/>
      <c r="F60" s="245"/>
      <c r="G60" s="245"/>
      <c r="H60" s="245"/>
      <c r="I60" s="244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</row>
    <row r="61">
      <c r="A61" s="245"/>
      <c r="B61" s="245"/>
      <c r="C61" s="245"/>
      <c r="D61" s="245"/>
      <c r="E61" s="245"/>
      <c r="F61" s="245"/>
      <c r="G61" s="245"/>
      <c r="H61" s="245"/>
      <c r="I61" s="244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</row>
    <row r="62">
      <c r="A62" s="245"/>
      <c r="B62" s="245"/>
      <c r="C62" s="245"/>
      <c r="D62" s="245"/>
      <c r="E62" s="245"/>
      <c r="F62" s="245"/>
      <c r="G62" s="245"/>
      <c r="H62" s="245"/>
      <c r="I62" s="244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</row>
    <row r="63">
      <c r="A63" s="245"/>
      <c r="B63" s="245"/>
      <c r="C63" s="245"/>
      <c r="D63" s="245"/>
      <c r="E63" s="245"/>
      <c r="F63" s="245"/>
      <c r="G63" s="245"/>
      <c r="H63" s="245"/>
      <c r="I63" s="244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</row>
    <row r="64">
      <c r="A64" s="245"/>
      <c r="B64" s="245"/>
      <c r="C64" s="245"/>
      <c r="D64" s="245"/>
      <c r="E64" s="245"/>
      <c r="F64" s="245"/>
      <c r="G64" s="245"/>
      <c r="H64" s="245"/>
      <c r="I64" s="244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</row>
    <row r="65">
      <c r="A65" s="245"/>
      <c r="B65" s="245"/>
      <c r="C65" s="245"/>
      <c r="D65" s="245"/>
      <c r="E65" s="245"/>
      <c r="F65" s="245"/>
      <c r="G65" s="245"/>
      <c r="H65" s="245"/>
      <c r="I65" s="244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</row>
    <row r="66">
      <c r="A66" s="245"/>
      <c r="B66" s="245"/>
      <c r="C66" s="245"/>
      <c r="D66" s="245"/>
      <c r="E66" s="245"/>
      <c r="F66" s="245"/>
      <c r="G66" s="245"/>
      <c r="H66" s="245"/>
      <c r="I66" s="244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</row>
    <row r="67">
      <c r="A67" s="245"/>
      <c r="B67" s="245"/>
      <c r="C67" s="245"/>
      <c r="D67" s="245"/>
      <c r="E67" s="245"/>
      <c r="F67" s="245"/>
      <c r="G67" s="245"/>
      <c r="H67" s="245"/>
      <c r="I67" s="244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</row>
    <row r="68">
      <c r="A68" s="245"/>
      <c r="B68" s="245"/>
      <c r="C68" s="245"/>
      <c r="D68" s="245"/>
      <c r="E68" s="245"/>
      <c r="F68" s="245"/>
      <c r="G68" s="245"/>
      <c r="H68" s="245"/>
      <c r="I68" s="244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</row>
    <row r="69">
      <c r="A69" s="245"/>
      <c r="B69" s="245"/>
      <c r="C69" s="245"/>
      <c r="D69" s="245"/>
      <c r="E69" s="245"/>
      <c r="F69" s="245"/>
      <c r="G69" s="245"/>
      <c r="H69" s="245"/>
      <c r="I69" s="244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</row>
    <row r="70">
      <c r="A70" s="245"/>
      <c r="B70" s="245"/>
      <c r="C70" s="245"/>
      <c r="D70" s="245"/>
      <c r="E70" s="245"/>
      <c r="F70" s="245"/>
      <c r="G70" s="245"/>
      <c r="H70" s="245"/>
      <c r="I70" s="244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</row>
    <row r="71">
      <c r="A71" s="245"/>
      <c r="B71" s="245"/>
      <c r="C71" s="245"/>
      <c r="D71" s="245"/>
      <c r="E71" s="245"/>
      <c r="F71" s="245"/>
      <c r="G71" s="245"/>
      <c r="H71" s="245"/>
      <c r="I71" s="244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</row>
    <row r="72">
      <c r="A72" s="245"/>
      <c r="B72" s="245"/>
      <c r="C72" s="245"/>
      <c r="D72" s="245"/>
      <c r="E72" s="245"/>
      <c r="F72" s="245"/>
      <c r="G72" s="245"/>
      <c r="H72" s="245"/>
      <c r="I72" s="244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</row>
    <row r="73">
      <c r="A73" s="245"/>
      <c r="B73" s="245"/>
      <c r="C73" s="245"/>
      <c r="D73" s="245"/>
      <c r="E73" s="245"/>
      <c r="F73" s="245"/>
      <c r="G73" s="245"/>
      <c r="H73" s="245"/>
      <c r="I73" s="244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</row>
    <row r="74">
      <c r="A74" s="245"/>
      <c r="B74" s="245"/>
      <c r="C74" s="245"/>
      <c r="D74" s="245"/>
      <c r="E74" s="245"/>
      <c r="F74" s="245"/>
      <c r="G74" s="245"/>
      <c r="H74" s="245"/>
      <c r="I74" s="244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</row>
    <row r="75">
      <c r="A75" s="245"/>
      <c r="B75" s="245"/>
      <c r="C75" s="245"/>
      <c r="D75" s="245"/>
      <c r="E75" s="245"/>
      <c r="F75" s="245"/>
      <c r="G75" s="245"/>
      <c r="H75" s="245"/>
      <c r="I75" s="244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</row>
    <row r="76">
      <c r="A76" s="245"/>
      <c r="B76" s="245"/>
      <c r="C76" s="245"/>
      <c r="D76" s="245"/>
      <c r="E76" s="245"/>
      <c r="F76" s="245"/>
      <c r="G76" s="245"/>
      <c r="H76" s="245"/>
      <c r="I76" s="244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</row>
    <row r="77">
      <c r="A77" s="245"/>
      <c r="B77" s="245"/>
      <c r="C77" s="245"/>
      <c r="D77" s="245"/>
      <c r="E77" s="245"/>
      <c r="F77" s="245"/>
      <c r="G77" s="245"/>
      <c r="H77" s="245"/>
      <c r="I77" s="244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</row>
    <row r="78">
      <c r="A78" s="245"/>
      <c r="B78" s="245"/>
      <c r="C78" s="245"/>
      <c r="D78" s="245"/>
      <c r="E78" s="245"/>
      <c r="F78" s="245"/>
      <c r="G78" s="245"/>
      <c r="H78" s="245"/>
      <c r="I78" s="244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</row>
    <row r="79">
      <c r="A79" s="245"/>
      <c r="B79" s="245"/>
      <c r="C79" s="245"/>
      <c r="D79" s="245"/>
      <c r="E79" s="245"/>
      <c r="F79" s="245"/>
      <c r="G79" s="245"/>
      <c r="H79" s="245"/>
      <c r="I79" s="244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</row>
    <row r="80">
      <c r="A80" s="245"/>
      <c r="B80" s="245"/>
      <c r="C80" s="245"/>
      <c r="D80" s="245"/>
      <c r="E80" s="245"/>
      <c r="F80" s="245"/>
      <c r="G80" s="245"/>
      <c r="H80" s="245"/>
      <c r="I80" s="244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</row>
    <row r="81">
      <c r="A81" s="245"/>
      <c r="B81" s="245"/>
      <c r="C81" s="245"/>
      <c r="D81" s="245"/>
      <c r="E81" s="245"/>
      <c r="F81" s="245"/>
      <c r="G81" s="245"/>
      <c r="H81" s="245"/>
      <c r="I81" s="244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</row>
    <row r="82">
      <c r="A82" s="245"/>
      <c r="B82" s="245"/>
      <c r="C82" s="245"/>
      <c r="D82" s="245"/>
      <c r="E82" s="245"/>
      <c r="F82" s="245"/>
      <c r="G82" s="245"/>
      <c r="H82" s="245"/>
      <c r="I82" s="244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</row>
    <row r="83">
      <c r="A83" s="245"/>
      <c r="B83" s="245"/>
      <c r="C83" s="245"/>
      <c r="D83" s="245"/>
      <c r="E83" s="245"/>
      <c r="F83" s="245"/>
      <c r="G83" s="245"/>
      <c r="H83" s="245"/>
      <c r="I83" s="244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</row>
    <row r="84">
      <c r="A84" s="245"/>
      <c r="B84" s="245"/>
      <c r="C84" s="245"/>
      <c r="D84" s="245"/>
      <c r="E84" s="245"/>
      <c r="F84" s="245"/>
      <c r="G84" s="245"/>
      <c r="H84" s="245"/>
      <c r="I84" s="244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</row>
    <row r="85">
      <c r="A85" s="245"/>
      <c r="B85" s="245"/>
      <c r="C85" s="245"/>
      <c r="D85" s="245"/>
      <c r="E85" s="245"/>
      <c r="F85" s="245"/>
      <c r="G85" s="245"/>
      <c r="H85" s="245"/>
      <c r="I85" s="244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</row>
    <row r="86">
      <c r="A86" s="245"/>
      <c r="B86" s="245"/>
      <c r="C86" s="245"/>
      <c r="D86" s="245"/>
      <c r="E86" s="245"/>
      <c r="F86" s="245"/>
      <c r="G86" s="245"/>
      <c r="H86" s="245"/>
      <c r="I86" s="244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</row>
    <row r="87">
      <c r="A87" s="245"/>
      <c r="B87" s="245"/>
      <c r="C87" s="245"/>
      <c r="D87" s="245"/>
      <c r="E87" s="245"/>
      <c r="F87" s="245"/>
      <c r="G87" s="245"/>
      <c r="H87" s="245"/>
      <c r="I87" s="244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</row>
    <row r="88">
      <c r="A88" s="245"/>
      <c r="B88" s="245"/>
      <c r="C88" s="245"/>
      <c r="D88" s="245"/>
      <c r="E88" s="245"/>
      <c r="F88" s="245"/>
      <c r="G88" s="245"/>
      <c r="H88" s="245"/>
      <c r="I88" s="244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</row>
    <row r="89">
      <c r="A89" s="245"/>
      <c r="B89" s="245"/>
      <c r="C89" s="245"/>
      <c r="D89" s="245"/>
      <c r="E89" s="245"/>
      <c r="F89" s="245"/>
      <c r="G89" s="245"/>
      <c r="H89" s="245"/>
      <c r="I89" s="244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</row>
    <row r="90">
      <c r="A90" s="245"/>
      <c r="B90" s="245"/>
      <c r="C90" s="245"/>
      <c r="D90" s="245"/>
      <c r="E90" s="245"/>
      <c r="F90" s="245"/>
      <c r="G90" s="245"/>
      <c r="H90" s="245"/>
      <c r="I90" s="244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</row>
    <row r="91">
      <c r="A91" s="245"/>
      <c r="B91" s="245"/>
      <c r="C91" s="245"/>
      <c r="D91" s="245"/>
      <c r="E91" s="245"/>
      <c r="F91" s="245"/>
      <c r="G91" s="245"/>
      <c r="H91" s="245"/>
      <c r="I91" s="244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</row>
    <row r="92">
      <c r="A92" s="245"/>
      <c r="B92" s="245"/>
      <c r="C92" s="245"/>
      <c r="D92" s="245"/>
      <c r="E92" s="245"/>
      <c r="F92" s="245"/>
      <c r="G92" s="245"/>
      <c r="H92" s="245"/>
      <c r="I92" s="244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</row>
    <row r="93">
      <c r="A93" s="245"/>
      <c r="B93" s="245"/>
      <c r="C93" s="245"/>
      <c r="D93" s="245"/>
      <c r="E93" s="245"/>
      <c r="F93" s="245"/>
      <c r="G93" s="245"/>
      <c r="H93" s="245"/>
      <c r="I93" s="244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</row>
    <row r="94">
      <c r="A94" s="245"/>
      <c r="B94" s="245"/>
      <c r="C94" s="245"/>
      <c r="D94" s="245"/>
      <c r="E94" s="245"/>
      <c r="F94" s="245"/>
      <c r="G94" s="245"/>
      <c r="H94" s="245"/>
      <c r="I94" s="244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</row>
    <row r="95">
      <c r="A95" s="245"/>
      <c r="B95" s="245"/>
      <c r="C95" s="245"/>
      <c r="D95" s="245"/>
      <c r="E95" s="245"/>
      <c r="F95" s="245"/>
      <c r="G95" s="245"/>
      <c r="H95" s="245"/>
      <c r="I95" s="244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</row>
    <row r="96">
      <c r="A96" s="245"/>
      <c r="B96" s="245"/>
      <c r="C96" s="245"/>
      <c r="D96" s="245"/>
      <c r="E96" s="245"/>
      <c r="F96" s="245"/>
      <c r="G96" s="245"/>
      <c r="H96" s="245"/>
      <c r="I96" s="244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</row>
    <row r="97">
      <c r="A97" s="245"/>
      <c r="B97" s="245"/>
      <c r="C97" s="245"/>
      <c r="D97" s="245"/>
      <c r="E97" s="245"/>
      <c r="F97" s="245"/>
      <c r="G97" s="245"/>
      <c r="H97" s="245"/>
      <c r="I97" s="244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</row>
    <row r="98">
      <c r="A98" s="245"/>
      <c r="B98" s="245"/>
      <c r="C98" s="245"/>
      <c r="D98" s="245"/>
      <c r="E98" s="245"/>
      <c r="F98" s="245"/>
      <c r="G98" s="245"/>
      <c r="H98" s="245"/>
      <c r="I98" s="244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</row>
    <row r="99">
      <c r="A99" s="245"/>
      <c r="B99" s="245"/>
      <c r="C99" s="245"/>
      <c r="D99" s="245"/>
      <c r="E99" s="245"/>
      <c r="F99" s="245"/>
      <c r="G99" s="245"/>
      <c r="H99" s="245"/>
      <c r="I99" s="244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</row>
    <row r="100">
      <c r="A100" s="245"/>
      <c r="B100" s="245"/>
      <c r="C100" s="245"/>
      <c r="D100" s="245"/>
      <c r="E100" s="245"/>
      <c r="F100" s="245"/>
      <c r="G100" s="245"/>
      <c r="H100" s="245"/>
      <c r="I100" s="244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</row>
    <row r="101">
      <c r="A101" s="245"/>
      <c r="B101" s="245"/>
      <c r="C101" s="245"/>
      <c r="D101" s="245"/>
      <c r="E101" s="245"/>
      <c r="F101" s="245"/>
      <c r="G101" s="245"/>
      <c r="H101" s="245"/>
      <c r="I101" s="244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</row>
    <row r="102">
      <c r="A102" s="245"/>
      <c r="B102" s="245"/>
      <c r="C102" s="245"/>
      <c r="D102" s="245"/>
      <c r="E102" s="245"/>
      <c r="F102" s="245"/>
      <c r="G102" s="245"/>
      <c r="H102" s="245"/>
      <c r="I102" s="244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</row>
    <row r="103">
      <c r="A103" s="245"/>
      <c r="B103" s="245"/>
      <c r="C103" s="245"/>
      <c r="D103" s="245"/>
      <c r="E103" s="245"/>
      <c r="F103" s="245"/>
      <c r="G103" s="245"/>
      <c r="H103" s="245"/>
      <c r="I103" s="244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</row>
    <row r="104">
      <c r="A104" s="245"/>
      <c r="B104" s="245"/>
      <c r="C104" s="245"/>
      <c r="D104" s="245"/>
      <c r="E104" s="245"/>
      <c r="F104" s="245"/>
      <c r="G104" s="245"/>
      <c r="H104" s="245"/>
      <c r="I104" s="244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</row>
    <row r="105">
      <c r="A105" s="245"/>
      <c r="B105" s="245"/>
      <c r="C105" s="245"/>
      <c r="D105" s="245"/>
      <c r="E105" s="245"/>
      <c r="F105" s="245"/>
      <c r="G105" s="245"/>
      <c r="H105" s="245"/>
      <c r="I105" s="244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</row>
    <row r="106">
      <c r="A106" s="245"/>
      <c r="B106" s="245"/>
      <c r="C106" s="245"/>
      <c r="D106" s="245"/>
      <c r="E106" s="245"/>
      <c r="F106" s="245"/>
      <c r="G106" s="245"/>
      <c r="H106" s="245"/>
      <c r="I106" s="244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</row>
    <row r="107">
      <c r="A107" s="245"/>
      <c r="B107" s="245"/>
      <c r="C107" s="245"/>
      <c r="D107" s="245"/>
      <c r="E107" s="245"/>
      <c r="F107" s="245"/>
      <c r="G107" s="245"/>
      <c r="H107" s="245"/>
      <c r="I107" s="244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</row>
    <row r="108">
      <c r="A108" s="245"/>
      <c r="B108" s="245"/>
      <c r="C108" s="245"/>
      <c r="D108" s="245"/>
      <c r="E108" s="245"/>
      <c r="F108" s="245"/>
      <c r="G108" s="245"/>
      <c r="H108" s="245"/>
      <c r="I108" s="244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</row>
    <row r="109">
      <c r="A109" s="245"/>
      <c r="B109" s="245"/>
      <c r="C109" s="245"/>
      <c r="D109" s="245"/>
      <c r="E109" s="245"/>
      <c r="F109" s="245"/>
      <c r="G109" s="245"/>
      <c r="H109" s="245"/>
      <c r="I109" s="244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</row>
    <row r="110">
      <c r="A110" s="245"/>
      <c r="B110" s="245"/>
      <c r="C110" s="245"/>
      <c r="D110" s="245"/>
      <c r="E110" s="245"/>
      <c r="F110" s="245"/>
      <c r="G110" s="245"/>
      <c r="H110" s="245"/>
      <c r="I110" s="244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</row>
    <row r="111">
      <c r="A111" s="245"/>
      <c r="B111" s="245"/>
      <c r="C111" s="245"/>
      <c r="D111" s="245"/>
      <c r="E111" s="245"/>
      <c r="F111" s="245"/>
      <c r="G111" s="245"/>
      <c r="H111" s="245"/>
      <c r="I111" s="244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</row>
    <row r="112">
      <c r="A112" s="245"/>
      <c r="B112" s="245"/>
      <c r="C112" s="245"/>
      <c r="D112" s="245"/>
      <c r="E112" s="245"/>
      <c r="F112" s="245"/>
      <c r="G112" s="245"/>
      <c r="H112" s="245"/>
      <c r="I112" s="244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</row>
    <row r="113">
      <c r="A113" s="245"/>
      <c r="B113" s="245"/>
      <c r="C113" s="245"/>
      <c r="D113" s="245"/>
      <c r="E113" s="245"/>
      <c r="F113" s="245"/>
      <c r="G113" s="245"/>
      <c r="H113" s="245"/>
      <c r="I113" s="244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</row>
    <row r="114">
      <c r="A114" s="245"/>
      <c r="B114" s="245"/>
      <c r="C114" s="245"/>
      <c r="D114" s="245"/>
      <c r="E114" s="245"/>
      <c r="F114" s="245"/>
      <c r="G114" s="245"/>
      <c r="H114" s="245"/>
      <c r="I114" s="244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</row>
    <row r="115">
      <c r="A115" s="245"/>
      <c r="B115" s="245"/>
      <c r="C115" s="245"/>
      <c r="D115" s="245"/>
      <c r="E115" s="245"/>
      <c r="F115" s="245"/>
      <c r="G115" s="245"/>
      <c r="H115" s="245"/>
      <c r="I115" s="244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</row>
    <row r="116">
      <c r="A116" s="245"/>
      <c r="B116" s="245"/>
      <c r="C116" s="245"/>
      <c r="D116" s="245"/>
      <c r="E116" s="245"/>
      <c r="F116" s="245"/>
      <c r="G116" s="245"/>
      <c r="H116" s="245"/>
      <c r="I116" s="244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</row>
    <row r="117">
      <c r="A117" s="245"/>
      <c r="B117" s="245"/>
      <c r="C117" s="245"/>
      <c r="D117" s="245"/>
      <c r="E117" s="245"/>
      <c r="F117" s="245"/>
      <c r="G117" s="245"/>
      <c r="H117" s="245"/>
      <c r="I117" s="244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</row>
    <row r="118">
      <c r="A118" s="245"/>
      <c r="B118" s="245"/>
      <c r="C118" s="245"/>
      <c r="D118" s="245"/>
      <c r="E118" s="245"/>
      <c r="F118" s="245"/>
      <c r="G118" s="245"/>
      <c r="H118" s="245"/>
      <c r="I118" s="244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</row>
    <row r="119">
      <c r="A119" s="245"/>
      <c r="B119" s="245"/>
      <c r="C119" s="245"/>
      <c r="D119" s="245"/>
      <c r="E119" s="245"/>
      <c r="F119" s="245"/>
      <c r="G119" s="245"/>
      <c r="H119" s="245"/>
      <c r="I119" s="244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</row>
    <row r="120">
      <c r="A120" s="245"/>
      <c r="B120" s="245"/>
      <c r="C120" s="245"/>
      <c r="D120" s="245"/>
      <c r="E120" s="245"/>
      <c r="F120" s="245"/>
      <c r="G120" s="245"/>
      <c r="H120" s="245"/>
      <c r="I120" s="244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</row>
    <row r="121">
      <c r="A121" s="245"/>
      <c r="B121" s="245"/>
      <c r="C121" s="245"/>
      <c r="D121" s="245"/>
      <c r="E121" s="245"/>
      <c r="F121" s="245"/>
      <c r="G121" s="245"/>
      <c r="H121" s="245"/>
      <c r="I121" s="244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</row>
    <row r="122">
      <c r="A122" s="245"/>
      <c r="B122" s="245"/>
      <c r="C122" s="245"/>
      <c r="D122" s="245"/>
      <c r="E122" s="245"/>
      <c r="F122" s="245"/>
      <c r="G122" s="245"/>
      <c r="H122" s="245"/>
      <c r="I122" s="244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</row>
    <row r="123">
      <c r="A123" s="245"/>
      <c r="B123" s="245"/>
      <c r="C123" s="245"/>
      <c r="D123" s="245"/>
      <c r="E123" s="245"/>
      <c r="F123" s="245"/>
      <c r="G123" s="245"/>
      <c r="H123" s="245"/>
      <c r="I123" s="244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</row>
    <row r="124">
      <c r="A124" s="245"/>
      <c r="B124" s="245"/>
      <c r="C124" s="245"/>
      <c r="D124" s="245"/>
      <c r="E124" s="245"/>
      <c r="F124" s="245"/>
      <c r="G124" s="245"/>
      <c r="H124" s="245"/>
      <c r="I124" s="244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</row>
    <row r="125">
      <c r="A125" s="245"/>
      <c r="B125" s="245"/>
      <c r="C125" s="245"/>
      <c r="D125" s="245"/>
      <c r="E125" s="245"/>
      <c r="F125" s="245"/>
      <c r="G125" s="245"/>
      <c r="H125" s="245"/>
      <c r="I125" s="244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</row>
    <row r="126">
      <c r="A126" s="245"/>
      <c r="B126" s="245"/>
      <c r="C126" s="245"/>
      <c r="D126" s="245"/>
      <c r="E126" s="245"/>
      <c r="F126" s="245"/>
      <c r="G126" s="245"/>
      <c r="H126" s="245"/>
      <c r="I126" s="244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</row>
    <row r="127">
      <c r="A127" s="245"/>
      <c r="B127" s="245"/>
      <c r="C127" s="245"/>
      <c r="D127" s="245"/>
      <c r="E127" s="245"/>
      <c r="F127" s="245"/>
      <c r="G127" s="245"/>
      <c r="H127" s="245"/>
      <c r="I127" s="244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</row>
    <row r="128">
      <c r="A128" s="245"/>
      <c r="B128" s="245"/>
      <c r="C128" s="245"/>
      <c r="D128" s="245"/>
      <c r="E128" s="245"/>
      <c r="F128" s="245"/>
      <c r="G128" s="245"/>
      <c r="H128" s="245"/>
      <c r="I128" s="244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</row>
    <row r="129">
      <c r="A129" s="245"/>
      <c r="B129" s="245"/>
      <c r="C129" s="245"/>
      <c r="D129" s="245"/>
      <c r="E129" s="245"/>
      <c r="F129" s="245"/>
      <c r="G129" s="245"/>
      <c r="H129" s="245"/>
      <c r="I129" s="244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</row>
    <row r="130">
      <c r="A130" s="245"/>
      <c r="B130" s="245"/>
      <c r="C130" s="245"/>
      <c r="D130" s="245"/>
      <c r="E130" s="245"/>
      <c r="F130" s="245"/>
      <c r="G130" s="245"/>
      <c r="H130" s="245"/>
      <c r="I130" s="244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</row>
    <row r="131">
      <c r="A131" s="245"/>
      <c r="B131" s="245"/>
      <c r="C131" s="245"/>
      <c r="D131" s="245"/>
      <c r="E131" s="245"/>
      <c r="F131" s="245"/>
      <c r="G131" s="245"/>
      <c r="H131" s="245"/>
      <c r="I131" s="244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</row>
    <row r="132">
      <c r="A132" s="245"/>
      <c r="B132" s="245"/>
      <c r="C132" s="245"/>
      <c r="D132" s="245"/>
      <c r="E132" s="245"/>
      <c r="F132" s="245"/>
      <c r="G132" s="245"/>
      <c r="H132" s="245"/>
      <c r="I132" s="244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</row>
    <row r="133">
      <c r="A133" s="245"/>
      <c r="B133" s="245"/>
      <c r="C133" s="245"/>
      <c r="D133" s="245"/>
      <c r="E133" s="245"/>
      <c r="F133" s="245"/>
      <c r="G133" s="245"/>
      <c r="H133" s="245"/>
      <c r="I133" s="244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</row>
    <row r="134">
      <c r="A134" s="245"/>
      <c r="B134" s="245"/>
      <c r="C134" s="245"/>
      <c r="D134" s="245"/>
      <c r="E134" s="245"/>
      <c r="F134" s="245"/>
      <c r="G134" s="245"/>
      <c r="H134" s="245"/>
      <c r="I134" s="244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</row>
    <row r="135">
      <c r="A135" s="245"/>
      <c r="B135" s="245"/>
      <c r="C135" s="245"/>
      <c r="D135" s="245"/>
      <c r="E135" s="245"/>
      <c r="F135" s="245"/>
      <c r="G135" s="245"/>
      <c r="H135" s="245"/>
      <c r="I135" s="244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</row>
    <row r="136">
      <c r="A136" s="245"/>
      <c r="B136" s="245"/>
      <c r="C136" s="245"/>
      <c r="D136" s="245"/>
      <c r="E136" s="245"/>
      <c r="F136" s="245"/>
      <c r="G136" s="245"/>
      <c r="H136" s="245"/>
      <c r="I136" s="244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</row>
    <row r="137">
      <c r="A137" s="245"/>
      <c r="B137" s="245"/>
      <c r="C137" s="245"/>
      <c r="D137" s="245"/>
      <c r="E137" s="245"/>
      <c r="F137" s="245"/>
      <c r="G137" s="245"/>
      <c r="H137" s="245"/>
      <c r="I137" s="244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</row>
    <row r="138">
      <c r="A138" s="245"/>
      <c r="B138" s="245"/>
      <c r="C138" s="245"/>
      <c r="D138" s="245"/>
      <c r="E138" s="245"/>
      <c r="F138" s="245"/>
      <c r="G138" s="245"/>
      <c r="H138" s="245"/>
      <c r="I138" s="244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</row>
    <row r="139">
      <c r="A139" s="245"/>
      <c r="B139" s="245"/>
      <c r="C139" s="245"/>
      <c r="D139" s="245"/>
      <c r="E139" s="245"/>
      <c r="F139" s="245"/>
      <c r="G139" s="245"/>
      <c r="H139" s="245"/>
      <c r="I139" s="244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</row>
    <row r="140">
      <c r="A140" s="245"/>
      <c r="B140" s="245"/>
      <c r="C140" s="245"/>
      <c r="D140" s="245"/>
      <c r="E140" s="245"/>
      <c r="F140" s="245"/>
      <c r="G140" s="245"/>
      <c r="H140" s="245"/>
      <c r="I140" s="244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</row>
    <row r="141">
      <c r="A141" s="245"/>
      <c r="B141" s="245"/>
      <c r="C141" s="245"/>
      <c r="D141" s="245"/>
      <c r="E141" s="245"/>
      <c r="F141" s="245"/>
      <c r="G141" s="245"/>
      <c r="H141" s="245"/>
      <c r="I141" s="244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</row>
    <row r="142">
      <c r="A142" s="245"/>
      <c r="B142" s="245"/>
      <c r="C142" s="245"/>
      <c r="D142" s="245"/>
      <c r="E142" s="245"/>
      <c r="F142" s="245"/>
      <c r="G142" s="245"/>
      <c r="H142" s="245"/>
      <c r="I142" s="244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</row>
    <row r="143">
      <c r="A143" s="245"/>
      <c r="B143" s="245"/>
      <c r="C143" s="245"/>
      <c r="D143" s="245"/>
      <c r="E143" s="245"/>
      <c r="F143" s="245"/>
      <c r="G143" s="245"/>
      <c r="H143" s="245"/>
      <c r="I143" s="244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</row>
    <row r="144">
      <c r="A144" s="245"/>
      <c r="B144" s="245"/>
      <c r="C144" s="245"/>
      <c r="D144" s="245"/>
      <c r="E144" s="245"/>
      <c r="F144" s="245"/>
      <c r="G144" s="245"/>
      <c r="H144" s="245"/>
      <c r="I144" s="244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</row>
    <row r="145">
      <c r="A145" s="245"/>
      <c r="B145" s="245"/>
      <c r="C145" s="245"/>
      <c r="D145" s="245"/>
      <c r="E145" s="245"/>
      <c r="F145" s="245"/>
      <c r="G145" s="245"/>
      <c r="H145" s="245"/>
      <c r="I145" s="244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</row>
    <row r="146">
      <c r="A146" s="245"/>
      <c r="B146" s="245"/>
      <c r="C146" s="245"/>
      <c r="D146" s="245"/>
      <c r="E146" s="245"/>
      <c r="F146" s="245"/>
      <c r="G146" s="245"/>
      <c r="H146" s="245"/>
      <c r="I146" s="244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</row>
    <row r="147">
      <c r="A147" s="245"/>
      <c r="B147" s="245"/>
      <c r="C147" s="245"/>
      <c r="D147" s="245"/>
      <c r="E147" s="245"/>
      <c r="F147" s="245"/>
      <c r="G147" s="245"/>
      <c r="H147" s="245"/>
      <c r="I147" s="244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</row>
    <row r="148">
      <c r="A148" s="245"/>
      <c r="B148" s="245"/>
      <c r="C148" s="245"/>
      <c r="D148" s="245"/>
      <c r="E148" s="245"/>
      <c r="F148" s="245"/>
      <c r="G148" s="245"/>
      <c r="H148" s="245"/>
      <c r="I148" s="244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</row>
    <row r="149">
      <c r="A149" s="245"/>
      <c r="B149" s="245"/>
      <c r="C149" s="245"/>
      <c r="D149" s="245"/>
      <c r="E149" s="245"/>
      <c r="F149" s="245"/>
      <c r="G149" s="245"/>
      <c r="H149" s="245"/>
      <c r="I149" s="244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</row>
    <row r="150">
      <c r="A150" s="245"/>
      <c r="B150" s="245"/>
      <c r="C150" s="245"/>
      <c r="D150" s="245"/>
      <c r="E150" s="245"/>
      <c r="F150" s="245"/>
      <c r="G150" s="245"/>
      <c r="H150" s="245"/>
      <c r="I150" s="244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</row>
    <row r="151">
      <c r="A151" s="245"/>
      <c r="B151" s="245"/>
      <c r="C151" s="245"/>
      <c r="D151" s="245"/>
      <c r="E151" s="245"/>
      <c r="F151" s="245"/>
      <c r="G151" s="245"/>
      <c r="H151" s="245"/>
      <c r="I151" s="244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</row>
    <row r="152">
      <c r="A152" s="245"/>
      <c r="B152" s="245"/>
      <c r="C152" s="245"/>
      <c r="D152" s="245"/>
      <c r="E152" s="245"/>
      <c r="F152" s="245"/>
      <c r="G152" s="245"/>
      <c r="H152" s="245"/>
      <c r="I152" s="244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</row>
    <row r="153">
      <c r="A153" s="245"/>
      <c r="B153" s="245"/>
      <c r="C153" s="245"/>
      <c r="D153" s="245"/>
      <c r="E153" s="245"/>
      <c r="F153" s="245"/>
      <c r="G153" s="245"/>
      <c r="H153" s="245"/>
      <c r="I153" s="244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</row>
    <row r="154">
      <c r="A154" s="245"/>
      <c r="B154" s="245"/>
      <c r="C154" s="245"/>
      <c r="D154" s="245"/>
      <c r="E154" s="245"/>
      <c r="F154" s="245"/>
      <c r="G154" s="245"/>
      <c r="H154" s="245"/>
      <c r="I154" s="244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</row>
    <row r="155">
      <c r="A155" s="245"/>
      <c r="B155" s="245"/>
      <c r="C155" s="245"/>
      <c r="D155" s="245"/>
      <c r="E155" s="245"/>
      <c r="F155" s="245"/>
      <c r="G155" s="245"/>
      <c r="H155" s="245"/>
      <c r="I155" s="244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</row>
    <row r="156">
      <c r="A156" s="245"/>
      <c r="B156" s="245"/>
      <c r="C156" s="245"/>
      <c r="D156" s="245"/>
      <c r="E156" s="245"/>
      <c r="F156" s="245"/>
      <c r="G156" s="245"/>
      <c r="H156" s="245"/>
      <c r="I156" s="244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</row>
    <row r="157">
      <c r="A157" s="245"/>
      <c r="B157" s="245"/>
      <c r="C157" s="245"/>
      <c r="D157" s="245"/>
      <c r="E157" s="245"/>
      <c r="F157" s="245"/>
      <c r="G157" s="245"/>
      <c r="H157" s="245"/>
      <c r="I157" s="244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</row>
    <row r="158">
      <c r="A158" s="245"/>
      <c r="B158" s="245"/>
      <c r="C158" s="245"/>
      <c r="D158" s="245"/>
      <c r="E158" s="245"/>
      <c r="F158" s="245"/>
      <c r="G158" s="245"/>
      <c r="H158" s="245"/>
      <c r="I158" s="244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</row>
    <row r="159">
      <c r="A159" s="245"/>
      <c r="B159" s="245"/>
      <c r="C159" s="245"/>
      <c r="D159" s="245"/>
      <c r="E159" s="245"/>
      <c r="F159" s="245"/>
      <c r="G159" s="245"/>
      <c r="H159" s="245"/>
      <c r="I159" s="244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</row>
    <row r="160">
      <c r="A160" s="245"/>
      <c r="B160" s="245"/>
      <c r="C160" s="245"/>
      <c r="D160" s="245"/>
      <c r="E160" s="245"/>
      <c r="F160" s="245"/>
      <c r="G160" s="245"/>
      <c r="H160" s="245"/>
      <c r="I160" s="244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</row>
    <row r="161">
      <c r="A161" s="245"/>
      <c r="B161" s="245"/>
      <c r="C161" s="245"/>
      <c r="D161" s="245"/>
      <c r="E161" s="245"/>
      <c r="F161" s="245"/>
      <c r="G161" s="245"/>
      <c r="H161" s="245"/>
      <c r="I161" s="244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</row>
    <row r="162">
      <c r="A162" s="245"/>
      <c r="B162" s="245"/>
      <c r="C162" s="245"/>
      <c r="D162" s="245"/>
      <c r="E162" s="245"/>
      <c r="F162" s="245"/>
      <c r="G162" s="245"/>
      <c r="H162" s="245"/>
      <c r="I162" s="244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</row>
    <row r="163">
      <c r="A163" s="245"/>
      <c r="B163" s="245"/>
      <c r="C163" s="245"/>
      <c r="D163" s="245"/>
      <c r="E163" s="245"/>
      <c r="F163" s="245"/>
      <c r="G163" s="245"/>
      <c r="H163" s="245"/>
      <c r="I163" s="244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</row>
    <row r="164">
      <c r="A164" s="245"/>
      <c r="B164" s="245"/>
      <c r="C164" s="245"/>
      <c r="D164" s="245"/>
      <c r="E164" s="245"/>
      <c r="F164" s="245"/>
      <c r="G164" s="245"/>
      <c r="H164" s="245"/>
      <c r="I164" s="244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</row>
    <row r="165">
      <c r="A165" s="245"/>
      <c r="B165" s="245"/>
      <c r="C165" s="245"/>
      <c r="D165" s="245"/>
      <c r="E165" s="245"/>
      <c r="F165" s="245"/>
      <c r="G165" s="245"/>
      <c r="H165" s="245"/>
      <c r="I165" s="244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</row>
    <row r="166">
      <c r="A166" s="245"/>
      <c r="B166" s="245"/>
      <c r="C166" s="245"/>
      <c r="D166" s="245"/>
      <c r="E166" s="245"/>
      <c r="F166" s="245"/>
      <c r="G166" s="245"/>
      <c r="H166" s="245"/>
      <c r="I166" s="244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</row>
    <row r="167">
      <c r="A167" s="245"/>
      <c r="B167" s="245"/>
      <c r="C167" s="245"/>
      <c r="D167" s="245"/>
      <c r="E167" s="245"/>
      <c r="F167" s="245"/>
      <c r="G167" s="245"/>
      <c r="H167" s="245"/>
      <c r="I167" s="244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</row>
    <row r="168">
      <c r="A168" s="245"/>
      <c r="B168" s="245"/>
      <c r="C168" s="245"/>
      <c r="D168" s="245"/>
      <c r="E168" s="245"/>
      <c r="F168" s="245"/>
      <c r="G168" s="245"/>
      <c r="H168" s="245"/>
      <c r="I168" s="244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</row>
    <row r="169">
      <c r="A169" s="245"/>
      <c r="B169" s="245"/>
      <c r="C169" s="245"/>
      <c r="D169" s="245"/>
      <c r="E169" s="245"/>
      <c r="F169" s="245"/>
      <c r="G169" s="245"/>
      <c r="H169" s="245"/>
      <c r="I169" s="244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</row>
    <row r="170">
      <c r="A170" s="245"/>
      <c r="B170" s="245"/>
      <c r="C170" s="245"/>
      <c r="D170" s="245"/>
      <c r="E170" s="245"/>
      <c r="F170" s="245"/>
      <c r="G170" s="245"/>
      <c r="H170" s="245"/>
      <c r="I170" s="244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</row>
    <row r="171">
      <c r="A171" s="245"/>
      <c r="B171" s="245"/>
      <c r="C171" s="245"/>
      <c r="D171" s="245"/>
      <c r="E171" s="245"/>
      <c r="F171" s="245"/>
      <c r="G171" s="245"/>
      <c r="H171" s="245"/>
      <c r="I171" s="244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</row>
    <row r="172">
      <c r="A172" s="245"/>
      <c r="B172" s="245"/>
      <c r="C172" s="245"/>
      <c r="D172" s="245"/>
      <c r="E172" s="245"/>
      <c r="F172" s="245"/>
      <c r="G172" s="245"/>
      <c r="H172" s="245"/>
      <c r="I172" s="244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</row>
    <row r="173">
      <c r="A173" s="245"/>
      <c r="B173" s="245"/>
      <c r="C173" s="245"/>
      <c r="D173" s="245"/>
      <c r="E173" s="245"/>
      <c r="F173" s="245"/>
      <c r="G173" s="245"/>
      <c r="H173" s="245"/>
      <c r="I173" s="244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</row>
    <row r="174">
      <c r="A174" s="245"/>
      <c r="B174" s="245"/>
      <c r="C174" s="245"/>
      <c r="D174" s="245"/>
      <c r="E174" s="245"/>
      <c r="F174" s="245"/>
      <c r="G174" s="245"/>
      <c r="H174" s="245"/>
      <c r="I174" s="244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</row>
    <row r="175">
      <c r="A175" s="245"/>
      <c r="B175" s="245"/>
      <c r="C175" s="245"/>
      <c r="D175" s="245"/>
      <c r="E175" s="245"/>
      <c r="F175" s="245"/>
      <c r="G175" s="245"/>
      <c r="H175" s="245"/>
      <c r="I175" s="244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</row>
    <row r="176">
      <c r="A176" s="245"/>
      <c r="B176" s="245"/>
      <c r="C176" s="245"/>
      <c r="D176" s="245"/>
      <c r="E176" s="245"/>
      <c r="F176" s="245"/>
      <c r="G176" s="245"/>
      <c r="H176" s="245"/>
      <c r="I176" s="244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</row>
    <row r="177">
      <c r="A177" s="245"/>
      <c r="B177" s="245"/>
      <c r="C177" s="245"/>
      <c r="D177" s="245"/>
      <c r="E177" s="245"/>
      <c r="F177" s="245"/>
      <c r="G177" s="245"/>
      <c r="H177" s="245"/>
      <c r="I177" s="244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</row>
    <row r="178">
      <c r="A178" s="245"/>
      <c r="B178" s="245"/>
      <c r="C178" s="245"/>
      <c r="D178" s="245"/>
      <c r="E178" s="245"/>
      <c r="F178" s="245"/>
      <c r="G178" s="245"/>
      <c r="H178" s="245"/>
      <c r="I178" s="244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</row>
    <row r="179">
      <c r="A179" s="245"/>
      <c r="B179" s="245"/>
      <c r="C179" s="245"/>
      <c r="D179" s="245"/>
      <c r="E179" s="245"/>
      <c r="F179" s="245"/>
      <c r="G179" s="245"/>
      <c r="H179" s="245"/>
      <c r="I179" s="244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</row>
    <row r="180">
      <c r="A180" s="245"/>
      <c r="B180" s="245"/>
      <c r="C180" s="245"/>
      <c r="D180" s="245"/>
      <c r="E180" s="245"/>
      <c r="F180" s="245"/>
      <c r="G180" s="245"/>
      <c r="H180" s="245"/>
      <c r="I180" s="244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</row>
    <row r="181">
      <c r="A181" s="245"/>
      <c r="B181" s="245"/>
      <c r="C181" s="245"/>
      <c r="D181" s="245"/>
      <c r="E181" s="245"/>
      <c r="F181" s="245"/>
      <c r="G181" s="245"/>
      <c r="H181" s="245"/>
      <c r="I181" s="244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</row>
    <row r="182">
      <c r="A182" s="245"/>
      <c r="B182" s="245"/>
      <c r="C182" s="245"/>
      <c r="D182" s="245"/>
      <c r="E182" s="245"/>
      <c r="F182" s="245"/>
      <c r="G182" s="245"/>
      <c r="H182" s="245"/>
      <c r="I182" s="244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</row>
    <row r="183">
      <c r="A183" s="245"/>
      <c r="B183" s="245"/>
      <c r="C183" s="245"/>
      <c r="D183" s="245"/>
      <c r="E183" s="245"/>
      <c r="F183" s="245"/>
      <c r="G183" s="245"/>
      <c r="H183" s="245"/>
      <c r="I183" s="244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</row>
    <row r="184">
      <c r="A184" s="245"/>
      <c r="B184" s="245"/>
      <c r="C184" s="245"/>
      <c r="D184" s="245"/>
      <c r="E184" s="245"/>
      <c r="F184" s="245"/>
      <c r="G184" s="245"/>
      <c r="H184" s="245"/>
      <c r="I184" s="244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</row>
    <row r="185">
      <c r="A185" s="245"/>
      <c r="B185" s="245"/>
      <c r="C185" s="245"/>
      <c r="D185" s="245"/>
      <c r="E185" s="245"/>
      <c r="F185" s="245"/>
      <c r="G185" s="245"/>
      <c r="H185" s="245"/>
      <c r="I185" s="244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</row>
    <row r="186">
      <c r="A186" s="245"/>
      <c r="B186" s="245"/>
      <c r="C186" s="245"/>
      <c r="D186" s="245"/>
      <c r="E186" s="245"/>
      <c r="F186" s="245"/>
      <c r="G186" s="245"/>
      <c r="H186" s="245"/>
      <c r="I186" s="244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</row>
    <row r="187">
      <c r="A187" s="245"/>
      <c r="B187" s="245"/>
      <c r="C187" s="245"/>
      <c r="D187" s="245"/>
      <c r="E187" s="245"/>
      <c r="F187" s="245"/>
      <c r="G187" s="245"/>
      <c r="H187" s="245"/>
      <c r="I187" s="244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</row>
    <row r="188">
      <c r="A188" s="245"/>
      <c r="B188" s="245"/>
      <c r="C188" s="245"/>
      <c r="D188" s="245"/>
      <c r="E188" s="245"/>
      <c r="F188" s="245"/>
      <c r="G188" s="245"/>
      <c r="H188" s="245"/>
      <c r="I188" s="244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</row>
    <row r="189">
      <c r="A189" s="245"/>
      <c r="B189" s="245"/>
      <c r="C189" s="245"/>
      <c r="D189" s="245"/>
      <c r="E189" s="245"/>
      <c r="F189" s="245"/>
      <c r="G189" s="245"/>
      <c r="H189" s="245"/>
      <c r="I189" s="244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</row>
    <row r="190">
      <c r="A190" s="245"/>
      <c r="B190" s="245"/>
      <c r="C190" s="245"/>
      <c r="D190" s="245"/>
      <c r="E190" s="245"/>
      <c r="F190" s="245"/>
      <c r="G190" s="245"/>
      <c r="H190" s="245"/>
      <c r="I190" s="244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</row>
    <row r="191">
      <c r="A191" s="245"/>
      <c r="B191" s="245"/>
      <c r="C191" s="245"/>
      <c r="D191" s="245"/>
      <c r="E191" s="245"/>
      <c r="F191" s="245"/>
      <c r="G191" s="245"/>
      <c r="H191" s="245"/>
      <c r="I191" s="244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</row>
    <row r="192">
      <c r="A192" s="245"/>
      <c r="B192" s="245"/>
      <c r="C192" s="245"/>
      <c r="D192" s="245"/>
      <c r="E192" s="245"/>
      <c r="F192" s="245"/>
      <c r="G192" s="245"/>
      <c r="H192" s="245"/>
      <c r="I192" s="244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</row>
    <row r="193">
      <c r="A193" s="245"/>
      <c r="B193" s="245"/>
      <c r="C193" s="245"/>
      <c r="D193" s="245"/>
      <c r="E193" s="245"/>
      <c r="F193" s="245"/>
      <c r="G193" s="245"/>
      <c r="H193" s="245"/>
      <c r="I193" s="244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</row>
    <row r="194">
      <c r="A194" s="245"/>
      <c r="B194" s="245"/>
      <c r="C194" s="245"/>
      <c r="D194" s="245"/>
      <c r="E194" s="245"/>
      <c r="F194" s="245"/>
      <c r="G194" s="245"/>
      <c r="H194" s="245"/>
      <c r="I194" s="244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</row>
    <row r="195">
      <c r="A195" s="245"/>
      <c r="B195" s="245"/>
      <c r="C195" s="245"/>
      <c r="D195" s="245"/>
      <c r="E195" s="245"/>
      <c r="F195" s="245"/>
      <c r="G195" s="245"/>
      <c r="H195" s="245"/>
      <c r="I195" s="244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</row>
    <row r="196">
      <c r="A196" s="245"/>
      <c r="B196" s="245"/>
      <c r="C196" s="245"/>
      <c r="D196" s="245"/>
      <c r="E196" s="245"/>
      <c r="F196" s="245"/>
      <c r="G196" s="245"/>
      <c r="H196" s="245"/>
      <c r="I196" s="244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</row>
    <row r="197">
      <c r="A197" s="245"/>
      <c r="B197" s="245"/>
      <c r="C197" s="245"/>
      <c r="D197" s="245"/>
      <c r="E197" s="245"/>
      <c r="F197" s="245"/>
      <c r="G197" s="245"/>
      <c r="H197" s="245"/>
      <c r="I197" s="244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</row>
    <row r="198">
      <c r="A198" s="245"/>
      <c r="B198" s="245"/>
      <c r="C198" s="245"/>
      <c r="D198" s="245"/>
      <c r="E198" s="245"/>
      <c r="F198" s="245"/>
      <c r="G198" s="245"/>
      <c r="H198" s="245"/>
      <c r="I198" s="244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</row>
    <row r="199">
      <c r="A199" s="245"/>
      <c r="B199" s="245"/>
      <c r="C199" s="245"/>
      <c r="D199" s="245"/>
      <c r="E199" s="245"/>
      <c r="F199" s="245"/>
      <c r="G199" s="245"/>
      <c r="H199" s="245"/>
      <c r="I199" s="244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</row>
    <row r="200">
      <c r="A200" s="245"/>
      <c r="B200" s="245"/>
      <c r="C200" s="245"/>
      <c r="D200" s="245"/>
      <c r="E200" s="245"/>
      <c r="F200" s="245"/>
      <c r="G200" s="245"/>
      <c r="H200" s="245"/>
      <c r="I200" s="244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</row>
    <row r="201">
      <c r="A201" s="245"/>
      <c r="B201" s="245"/>
      <c r="C201" s="245"/>
      <c r="D201" s="245"/>
      <c r="E201" s="245"/>
      <c r="F201" s="245"/>
      <c r="G201" s="245"/>
      <c r="H201" s="245"/>
      <c r="I201" s="244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</row>
    <row r="202">
      <c r="A202" s="245"/>
      <c r="B202" s="245"/>
      <c r="C202" s="245"/>
      <c r="D202" s="245"/>
      <c r="E202" s="245"/>
      <c r="F202" s="245"/>
      <c r="G202" s="245"/>
      <c r="H202" s="245"/>
      <c r="I202" s="244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</row>
    <row r="203">
      <c r="A203" s="245"/>
      <c r="B203" s="245"/>
      <c r="C203" s="245"/>
      <c r="D203" s="245"/>
      <c r="E203" s="245"/>
      <c r="F203" s="245"/>
      <c r="G203" s="245"/>
      <c r="H203" s="245"/>
      <c r="I203" s="244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</row>
    <row r="204">
      <c r="A204" s="245"/>
      <c r="B204" s="245"/>
      <c r="C204" s="245"/>
      <c r="D204" s="245"/>
      <c r="E204" s="245"/>
      <c r="F204" s="245"/>
      <c r="G204" s="245"/>
      <c r="H204" s="245"/>
      <c r="I204" s="244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</row>
    <row r="205">
      <c r="A205" s="245"/>
      <c r="B205" s="245"/>
      <c r="C205" s="245"/>
      <c r="D205" s="245"/>
      <c r="E205" s="245"/>
      <c r="F205" s="245"/>
      <c r="G205" s="245"/>
      <c r="H205" s="245"/>
      <c r="I205" s="244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</row>
    <row r="206">
      <c r="A206" s="245"/>
      <c r="B206" s="245"/>
      <c r="C206" s="245"/>
      <c r="D206" s="245"/>
      <c r="E206" s="245"/>
      <c r="F206" s="245"/>
      <c r="G206" s="245"/>
      <c r="H206" s="245"/>
      <c r="I206" s="244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</row>
    <row r="207">
      <c r="A207" s="245"/>
      <c r="B207" s="245"/>
      <c r="C207" s="245"/>
      <c r="D207" s="245"/>
      <c r="E207" s="245"/>
      <c r="F207" s="245"/>
      <c r="G207" s="245"/>
      <c r="H207" s="245"/>
      <c r="I207" s="244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</row>
    <row r="208">
      <c r="A208" s="245"/>
      <c r="B208" s="245"/>
      <c r="C208" s="245"/>
      <c r="D208" s="245"/>
      <c r="E208" s="245"/>
      <c r="F208" s="245"/>
      <c r="G208" s="245"/>
      <c r="H208" s="245"/>
      <c r="I208" s="244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</row>
    <row r="209">
      <c r="A209" s="245"/>
      <c r="B209" s="245"/>
      <c r="C209" s="245"/>
      <c r="D209" s="245"/>
      <c r="E209" s="245"/>
      <c r="F209" s="245"/>
      <c r="G209" s="245"/>
      <c r="H209" s="245"/>
      <c r="I209" s="244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</row>
    <row r="210">
      <c r="A210" s="245"/>
      <c r="B210" s="245"/>
      <c r="C210" s="245"/>
      <c r="D210" s="245"/>
      <c r="E210" s="245"/>
      <c r="F210" s="245"/>
      <c r="G210" s="245"/>
      <c r="H210" s="245"/>
      <c r="I210" s="244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</row>
    <row r="211">
      <c r="A211" s="245"/>
      <c r="B211" s="245"/>
      <c r="C211" s="245"/>
      <c r="D211" s="245"/>
      <c r="E211" s="245"/>
      <c r="F211" s="245"/>
      <c r="G211" s="245"/>
      <c r="H211" s="245"/>
      <c r="I211" s="244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</row>
    <row r="212">
      <c r="A212" s="245"/>
      <c r="B212" s="245"/>
      <c r="C212" s="245"/>
      <c r="D212" s="245"/>
      <c r="E212" s="245"/>
      <c r="F212" s="245"/>
      <c r="G212" s="245"/>
      <c r="H212" s="245"/>
      <c r="I212" s="244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</row>
    <row r="213">
      <c r="A213" s="245"/>
      <c r="B213" s="245"/>
      <c r="C213" s="245"/>
      <c r="D213" s="245"/>
      <c r="E213" s="245"/>
      <c r="F213" s="245"/>
      <c r="G213" s="245"/>
      <c r="H213" s="245"/>
      <c r="I213" s="244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</row>
    <row r="214">
      <c r="A214" s="245"/>
      <c r="B214" s="245"/>
      <c r="C214" s="245"/>
      <c r="D214" s="245"/>
      <c r="E214" s="245"/>
      <c r="F214" s="245"/>
      <c r="G214" s="245"/>
      <c r="H214" s="245"/>
      <c r="I214" s="244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</row>
    <row r="215">
      <c r="A215" s="245"/>
      <c r="B215" s="245"/>
      <c r="C215" s="245"/>
      <c r="D215" s="245"/>
      <c r="E215" s="245"/>
      <c r="F215" s="245"/>
      <c r="G215" s="245"/>
      <c r="H215" s="245"/>
      <c r="I215" s="244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</row>
    <row r="216">
      <c r="A216" s="245"/>
      <c r="B216" s="245"/>
      <c r="C216" s="245"/>
      <c r="D216" s="245"/>
      <c r="E216" s="245"/>
      <c r="F216" s="245"/>
      <c r="G216" s="245"/>
      <c r="H216" s="245"/>
      <c r="I216" s="244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</row>
    <row r="217">
      <c r="A217" s="245"/>
      <c r="B217" s="245"/>
      <c r="C217" s="245"/>
      <c r="D217" s="245"/>
      <c r="E217" s="245"/>
      <c r="F217" s="245"/>
      <c r="G217" s="245"/>
      <c r="H217" s="245"/>
      <c r="I217" s="244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</row>
    <row r="218">
      <c r="A218" s="245"/>
      <c r="B218" s="245"/>
      <c r="C218" s="245"/>
      <c r="D218" s="245"/>
      <c r="E218" s="245"/>
      <c r="F218" s="245"/>
      <c r="G218" s="245"/>
      <c r="H218" s="245"/>
      <c r="I218" s="244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</row>
    <row r="219">
      <c r="A219" s="245"/>
      <c r="B219" s="245"/>
      <c r="C219" s="245"/>
      <c r="D219" s="245"/>
      <c r="E219" s="245"/>
      <c r="F219" s="245"/>
      <c r="G219" s="245"/>
      <c r="H219" s="245"/>
      <c r="I219" s="244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</row>
    <row r="220">
      <c r="A220" s="245"/>
      <c r="B220" s="245"/>
      <c r="C220" s="245"/>
      <c r="D220" s="245"/>
      <c r="E220" s="245"/>
      <c r="F220" s="245"/>
      <c r="G220" s="245"/>
      <c r="H220" s="245"/>
      <c r="I220" s="244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</row>
    <row r="221">
      <c r="A221" s="245"/>
      <c r="B221" s="245"/>
      <c r="C221" s="245"/>
      <c r="D221" s="245"/>
      <c r="E221" s="245"/>
      <c r="F221" s="245"/>
      <c r="G221" s="245"/>
      <c r="H221" s="245"/>
      <c r="I221" s="244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</row>
    <row r="222">
      <c r="A222" s="245"/>
      <c r="B222" s="245"/>
      <c r="C222" s="245"/>
      <c r="D222" s="245"/>
      <c r="E222" s="245"/>
      <c r="F222" s="245"/>
      <c r="G222" s="245"/>
      <c r="H222" s="245"/>
      <c r="I222" s="244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</row>
    <row r="223">
      <c r="A223" s="245"/>
      <c r="B223" s="245"/>
      <c r="C223" s="245"/>
      <c r="D223" s="245"/>
      <c r="E223" s="245"/>
      <c r="F223" s="245"/>
      <c r="G223" s="245"/>
      <c r="H223" s="245"/>
      <c r="I223" s="244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</row>
    <row r="224">
      <c r="A224" s="245"/>
      <c r="B224" s="245"/>
      <c r="C224" s="245"/>
      <c r="D224" s="245"/>
      <c r="E224" s="245"/>
      <c r="F224" s="245"/>
      <c r="G224" s="245"/>
      <c r="H224" s="245"/>
      <c r="I224" s="244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</row>
    <row r="225">
      <c r="A225" s="245"/>
      <c r="B225" s="245"/>
      <c r="C225" s="245"/>
      <c r="D225" s="245"/>
      <c r="E225" s="245"/>
      <c r="F225" s="245"/>
      <c r="G225" s="245"/>
      <c r="H225" s="245"/>
      <c r="I225" s="244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</row>
    <row r="226">
      <c r="A226" s="245"/>
      <c r="B226" s="245"/>
      <c r="C226" s="245"/>
      <c r="D226" s="245"/>
      <c r="E226" s="245"/>
      <c r="F226" s="245"/>
      <c r="G226" s="245"/>
      <c r="H226" s="245"/>
      <c r="I226" s="244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</row>
    <row r="227">
      <c r="A227" s="245"/>
      <c r="B227" s="245"/>
      <c r="C227" s="245"/>
      <c r="D227" s="245"/>
      <c r="E227" s="245"/>
      <c r="F227" s="245"/>
      <c r="G227" s="245"/>
      <c r="H227" s="245"/>
      <c r="I227" s="244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</row>
    <row r="228">
      <c r="A228" s="245"/>
      <c r="B228" s="245"/>
      <c r="C228" s="245"/>
      <c r="D228" s="245"/>
      <c r="E228" s="245"/>
      <c r="F228" s="245"/>
      <c r="G228" s="245"/>
      <c r="H228" s="245"/>
      <c r="I228" s="244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</row>
    <row r="229">
      <c r="A229" s="245"/>
      <c r="B229" s="245"/>
      <c r="C229" s="245"/>
      <c r="D229" s="245"/>
      <c r="E229" s="245"/>
      <c r="F229" s="245"/>
      <c r="G229" s="245"/>
      <c r="H229" s="245"/>
      <c r="I229" s="244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</row>
    <row r="230">
      <c r="A230" s="245"/>
      <c r="B230" s="245"/>
      <c r="C230" s="245"/>
      <c r="D230" s="245"/>
      <c r="E230" s="245"/>
      <c r="F230" s="245"/>
      <c r="G230" s="245"/>
      <c r="H230" s="245"/>
      <c r="I230" s="244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</row>
    <row r="231">
      <c r="A231" s="245"/>
      <c r="B231" s="245"/>
      <c r="C231" s="245"/>
      <c r="D231" s="245"/>
      <c r="E231" s="245"/>
      <c r="F231" s="245"/>
      <c r="G231" s="245"/>
      <c r="H231" s="245"/>
      <c r="I231" s="244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</row>
    <row r="232">
      <c r="A232" s="245"/>
      <c r="B232" s="245"/>
      <c r="C232" s="245"/>
      <c r="D232" s="245"/>
      <c r="E232" s="245"/>
      <c r="F232" s="245"/>
      <c r="G232" s="245"/>
      <c r="H232" s="245"/>
      <c r="I232" s="244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</row>
    <row r="233">
      <c r="A233" s="245"/>
      <c r="B233" s="245"/>
      <c r="C233" s="245"/>
      <c r="D233" s="245"/>
      <c r="E233" s="245"/>
      <c r="F233" s="245"/>
      <c r="G233" s="245"/>
      <c r="H233" s="245"/>
      <c r="I233" s="244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</row>
    <row r="234">
      <c r="A234" s="245"/>
      <c r="B234" s="245"/>
      <c r="C234" s="245"/>
      <c r="D234" s="245"/>
      <c r="E234" s="245"/>
      <c r="F234" s="245"/>
      <c r="G234" s="245"/>
      <c r="H234" s="245"/>
      <c r="I234" s="244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</row>
    <row r="235">
      <c r="A235" s="245"/>
      <c r="B235" s="245"/>
      <c r="C235" s="245"/>
      <c r="D235" s="245"/>
      <c r="E235" s="245"/>
      <c r="F235" s="245"/>
      <c r="G235" s="245"/>
      <c r="H235" s="245"/>
      <c r="I235" s="244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</row>
    <row r="236">
      <c r="A236" s="245"/>
      <c r="B236" s="245"/>
      <c r="C236" s="245"/>
      <c r="D236" s="245"/>
      <c r="E236" s="245"/>
      <c r="F236" s="245"/>
      <c r="G236" s="245"/>
      <c r="H236" s="245"/>
      <c r="I236" s="244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</row>
    <row r="237">
      <c r="A237" s="245"/>
      <c r="B237" s="245"/>
      <c r="C237" s="245"/>
      <c r="D237" s="245"/>
      <c r="E237" s="245"/>
      <c r="F237" s="245"/>
      <c r="G237" s="245"/>
      <c r="H237" s="245"/>
      <c r="I237" s="244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</row>
    <row r="238">
      <c r="A238" s="245"/>
      <c r="B238" s="245"/>
      <c r="C238" s="245"/>
      <c r="D238" s="245"/>
      <c r="E238" s="245"/>
      <c r="F238" s="245"/>
      <c r="G238" s="245"/>
      <c r="H238" s="245"/>
      <c r="I238" s="244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</row>
    <row r="239">
      <c r="A239" s="245"/>
      <c r="B239" s="245"/>
      <c r="C239" s="245"/>
      <c r="D239" s="245"/>
      <c r="E239" s="245"/>
      <c r="F239" s="245"/>
      <c r="G239" s="245"/>
      <c r="H239" s="245"/>
      <c r="I239" s="244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</row>
    <row r="240">
      <c r="A240" s="245"/>
      <c r="B240" s="245"/>
      <c r="C240" s="245"/>
      <c r="D240" s="245"/>
      <c r="E240" s="245"/>
      <c r="F240" s="245"/>
      <c r="G240" s="245"/>
      <c r="H240" s="245"/>
      <c r="I240" s="244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</row>
    <row r="241">
      <c r="A241" s="245"/>
      <c r="B241" s="245"/>
      <c r="C241" s="245"/>
      <c r="D241" s="245"/>
      <c r="E241" s="245"/>
      <c r="F241" s="245"/>
      <c r="G241" s="245"/>
      <c r="H241" s="245"/>
      <c r="I241" s="244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</row>
    <row r="242">
      <c r="A242" s="245"/>
      <c r="B242" s="245"/>
      <c r="C242" s="245"/>
      <c r="D242" s="245"/>
      <c r="E242" s="245"/>
      <c r="F242" s="245"/>
      <c r="G242" s="245"/>
      <c r="H242" s="245"/>
      <c r="I242" s="244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</row>
    <row r="243">
      <c r="A243" s="245"/>
      <c r="B243" s="245"/>
      <c r="C243" s="245"/>
      <c r="D243" s="245"/>
      <c r="E243" s="245"/>
      <c r="F243" s="245"/>
      <c r="G243" s="245"/>
      <c r="H243" s="245"/>
      <c r="I243" s="244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</row>
    <row r="244">
      <c r="A244" s="245"/>
      <c r="B244" s="245"/>
      <c r="C244" s="245"/>
      <c r="D244" s="245"/>
      <c r="E244" s="245"/>
      <c r="F244" s="245"/>
      <c r="G244" s="245"/>
      <c r="H244" s="245"/>
      <c r="I244" s="244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</row>
    <row r="245">
      <c r="A245" s="245"/>
      <c r="B245" s="245"/>
      <c r="C245" s="245"/>
      <c r="D245" s="245"/>
      <c r="E245" s="245"/>
      <c r="F245" s="245"/>
      <c r="G245" s="245"/>
      <c r="H245" s="245"/>
      <c r="I245" s="244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</row>
    <row r="246">
      <c r="A246" s="245"/>
      <c r="B246" s="245"/>
      <c r="C246" s="245"/>
      <c r="D246" s="245"/>
      <c r="E246" s="245"/>
      <c r="F246" s="245"/>
      <c r="G246" s="245"/>
      <c r="H246" s="245"/>
      <c r="I246" s="244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</row>
    <row r="247">
      <c r="A247" s="245"/>
      <c r="B247" s="245"/>
      <c r="C247" s="245"/>
      <c r="D247" s="245"/>
      <c r="E247" s="245"/>
      <c r="F247" s="245"/>
      <c r="G247" s="245"/>
      <c r="H247" s="245"/>
      <c r="I247" s="244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</row>
    <row r="248">
      <c r="A248" s="245"/>
      <c r="B248" s="245"/>
      <c r="C248" s="245"/>
      <c r="D248" s="245"/>
      <c r="E248" s="245"/>
      <c r="F248" s="245"/>
      <c r="G248" s="245"/>
      <c r="H248" s="245"/>
      <c r="I248" s="244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</row>
    <row r="249">
      <c r="A249" s="245"/>
      <c r="B249" s="245"/>
      <c r="C249" s="245"/>
      <c r="D249" s="245"/>
      <c r="E249" s="245"/>
      <c r="F249" s="245"/>
      <c r="G249" s="245"/>
      <c r="H249" s="245"/>
      <c r="I249" s="244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</row>
    <row r="250">
      <c r="A250" s="245"/>
      <c r="B250" s="245"/>
      <c r="C250" s="245"/>
      <c r="D250" s="245"/>
      <c r="E250" s="245"/>
      <c r="F250" s="245"/>
      <c r="G250" s="245"/>
      <c r="H250" s="245"/>
      <c r="I250" s="244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</row>
    <row r="251">
      <c r="A251" s="245"/>
      <c r="B251" s="245"/>
      <c r="C251" s="245"/>
      <c r="D251" s="245"/>
      <c r="E251" s="245"/>
      <c r="F251" s="245"/>
      <c r="G251" s="245"/>
      <c r="H251" s="245"/>
      <c r="I251" s="244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</row>
    <row r="252">
      <c r="A252" s="245"/>
      <c r="B252" s="245"/>
      <c r="C252" s="245"/>
      <c r="D252" s="245"/>
      <c r="E252" s="245"/>
      <c r="F252" s="245"/>
      <c r="G252" s="245"/>
      <c r="H252" s="245"/>
      <c r="I252" s="244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</row>
    <row r="253">
      <c r="A253" s="245"/>
      <c r="B253" s="245"/>
      <c r="C253" s="245"/>
      <c r="D253" s="245"/>
      <c r="E253" s="245"/>
      <c r="F253" s="245"/>
      <c r="G253" s="245"/>
      <c r="H253" s="245"/>
      <c r="I253" s="244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</row>
    <row r="254">
      <c r="A254" s="245"/>
      <c r="B254" s="245"/>
      <c r="C254" s="245"/>
      <c r="D254" s="245"/>
      <c r="E254" s="245"/>
      <c r="F254" s="245"/>
      <c r="G254" s="245"/>
      <c r="H254" s="245"/>
      <c r="I254" s="244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</row>
    <row r="255">
      <c r="A255" s="245"/>
      <c r="B255" s="245"/>
      <c r="C255" s="245"/>
      <c r="D255" s="245"/>
      <c r="E255" s="245"/>
      <c r="F255" s="245"/>
      <c r="G255" s="245"/>
      <c r="H255" s="245"/>
      <c r="I255" s="244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</row>
    <row r="256">
      <c r="A256" s="245"/>
      <c r="B256" s="245"/>
      <c r="C256" s="245"/>
      <c r="D256" s="245"/>
      <c r="E256" s="245"/>
      <c r="F256" s="245"/>
      <c r="G256" s="245"/>
      <c r="H256" s="245"/>
      <c r="I256" s="244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</row>
    <row r="257">
      <c r="A257" s="245"/>
      <c r="B257" s="245"/>
      <c r="C257" s="245"/>
      <c r="D257" s="245"/>
      <c r="E257" s="245"/>
      <c r="F257" s="245"/>
      <c r="G257" s="245"/>
      <c r="H257" s="245"/>
      <c r="I257" s="244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</row>
    <row r="258">
      <c r="A258" s="245"/>
      <c r="B258" s="245"/>
      <c r="C258" s="245"/>
      <c r="D258" s="245"/>
      <c r="E258" s="245"/>
      <c r="F258" s="245"/>
      <c r="G258" s="245"/>
      <c r="H258" s="245"/>
      <c r="I258" s="244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</row>
    <row r="259">
      <c r="A259" s="245"/>
      <c r="B259" s="245"/>
      <c r="C259" s="245"/>
      <c r="D259" s="245"/>
      <c r="E259" s="245"/>
      <c r="F259" s="245"/>
      <c r="G259" s="245"/>
      <c r="H259" s="245"/>
      <c r="I259" s="244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</row>
    <row r="260">
      <c r="A260" s="245"/>
      <c r="B260" s="245"/>
      <c r="C260" s="245"/>
      <c r="D260" s="245"/>
      <c r="E260" s="245"/>
      <c r="F260" s="245"/>
      <c r="G260" s="245"/>
      <c r="H260" s="245"/>
      <c r="I260" s="244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</row>
    <row r="261">
      <c r="A261" s="245"/>
      <c r="B261" s="245"/>
      <c r="C261" s="245"/>
      <c r="D261" s="245"/>
      <c r="E261" s="245"/>
      <c r="F261" s="245"/>
      <c r="G261" s="245"/>
      <c r="H261" s="245"/>
      <c r="I261" s="244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</row>
    <row r="262">
      <c r="A262" s="245"/>
      <c r="B262" s="245"/>
      <c r="C262" s="245"/>
      <c r="D262" s="245"/>
      <c r="E262" s="245"/>
      <c r="F262" s="245"/>
      <c r="G262" s="245"/>
      <c r="H262" s="245"/>
      <c r="I262" s="244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</row>
    <row r="263">
      <c r="A263" s="245"/>
      <c r="B263" s="245"/>
      <c r="C263" s="245"/>
      <c r="D263" s="245"/>
      <c r="E263" s="245"/>
      <c r="F263" s="245"/>
      <c r="G263" s="245"/>
      <c r="H263" s="245"/>
      <c r="I263" s="244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</row>
    <row r="264">
      <c r="A264" s="245"/>
      <c r="B264" s="245"/>
      <c r="C264" s="245"/>
      <c r="D264" s="245"/>
      <c r="E264" s="245"/>
      <c r="F264" s="245"/>
      <c r="G264" s="245"/>
      <c r="H264" s="245"/>
      <c r="I264" s="244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</row>
    <row r="265">
      <c r="A265" s="245"/>
      <c r="B265" s="245"/>
      <c r="C265" s="245"/>
      <c r="D265" s="245"/>
      <c r="E265" s="245"/>
      <c r="F265" s="245"/>
      <c r="G265" s="245"/>
      <c r="H265" s="245"/>
      <c r="I265" s="244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</row>
    <row r="266">
      <c r="A266" s="245"/>
      <c r="B266" s="245"/>
      <c r="C266" s="245"/>
      <c r="D266" s="245"/>
      <c r="E266" s="245"/>
      <c r="F266" s="245"/>
      <c r="G266" s="245"/>
      <c r="H266" s="245"/>
      <c r="I266" s="244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</row>
    <row r="267">
      <c r="A267" s="245"/>
      <c r="B267" s="245"/>
      <c r="C267" s="245"/>
      <c r="D267" s="245"/>
      <c r="E267" s="245"/>
      <c r="F267" s="245"/>
      <c r="G267" s="245"/>
      <c r="H267" s="245"/>
      <c r="I267" s="244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</row>
    <row r="268">
      <c r="A268" s="245"/>
      <c r="B268" s="245"/>
      <c r="C268" s="245"/>
      <c r="D268" s="245"/>
      <c r="E268" s="245"/>
      <c r="F268" s="245"/>
      <c r="G268" s="245"/>
      <c r="H268" s="245"/>
      <c r="I268" s="244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</row>
    <row r="269">
      <c r="A269" s="245"/>
      <c r="B269" s="245"/>
      <c r="C269" s="245"/>
      <c r="D269" s="245"/>
      <c r="E269" s="245"/>
      <c r="F269" s="245"/>
      <c r="G269" s="245"/>
      <c r="H269" s="245"/>
      <c r="I269" s="244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</row>
    <row r="270">
      <c r="A270" s="245"/>
      <c r="B270" s="245"/>
      <c r="C270" s="245"/>
      <c r="D270" s="245"/>
      <c r="E270" s="245"/>
      <c r="F270" s="245"/>
      <c r="G270" s="245"/>
      <c r="H270" s="245"/>
      <c r="I270" s="244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</row>
    <row r="271">
      <c r="A271" s="245"/>
      <c r="B271" s="245"/>
      <c r="C271" s="245"/>
      <c r="D271" s="245"/>
      <c r="E271" s="245"/>
      <c r="F271" s="245"/>
      <c r="G271" s="245"/>
      <c r="H271" s="245"/>
      <c r="I271" s="244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</row>
    <row r="272">
      <c r="A272" s="245"/>
      <c r="B272" s="245"/>
      <c r="C272" s="245"/>
      <c r="D272" s="245"/>
      <c r="E272" s="245"/>
      <c r="F272" s="245"/>
      <c r="G272" s="245"/>
      <c r="H272" s="245"/>
      <c r="I272" s="244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</row>
    <row r="273">
      <c r="A273" s="245"/>
      <c r="B273" s="245"/>
      <c r="C273" s="245"/>
      <c r="D273" s="245"/>
      <c r="E273" s="245"/>
      <c r="F273" s="245"/>
      <c r="G273" s="245"/>
      <c r="H273" s="245"/>
      <c r="I273" s="244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</row>
    <row r="274">
      <c r="A274" s="245"/>
      <c r="B274" s="245"/>
      <c r="C274" s="245"/>
      <c r="D274" s="245"/>
      <c r="E274" s="245"/>
      <c r="F274" s="245"/>
      <c r="G274" s="245"/>
      <c r="H274" s="245"/>
      <c r="I274" s="244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</row>
    <row r="275">
      <c r="A275" s="245"/>
      <c r="B275" s="245"/>
      <c r="C275" s="245"/>
      <c r="D275" s="245"/>
      <c r="E275" s="245"/>
      <c r="F275" s="245"/>
      <c r="G275" s="245"/>
      <c r="H275" s="245"/>
      <c r="I275" s="244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</row>
    <row r="276">
      <c r="A276" s="245"/>
      <c r="B276" s="245"/>
      <c r="C276" s="245"/>
      <c r="D276" s="245"/>
      <c r="E276" s="245"/>
      <c r="F276" s="245"/>
      <c r="G276" s="245"/>
      <c r="H276" s="245"/>
      <c r="I276" s="244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</row>
    <row r="277">
      <c r="A277" s="245"/>
      <c r="B277" s="245"/>
      <c r="C277" s="245"/>
      <c r="D277" s="245"/>
      <c r="E277" s="245"/>
      <c r="F277" s="245"/>
      <c r="G277" s="245"/>
      <c r="H277" s="245"/>
      <c r="I277" s="244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</row>
    <row r="278">
      <c r="A278" s="245"/>
      <c r="B278" s="245"/>
      <c r="C278" s="245"/>
      <c r="D278" s="245"/>
      <c r="E278" s="245"/>
      <c r="F278" s="245"/>
      <c r="G278" s="245"/>
      <c r="H278" s="245"/>
      <c r="I278" s="244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</row>
    <row r="279">
      <c r="A279" s="245"/>
      <c r="B279" s="245"/>
      <c r="C279" s="245"/>
      <c r="D279" s="245"/>
      <c r="E279" s="245"/>
      <c r="F279" s="245"/>
      <c r="G279" s="245"/>
      <c r="H279" s="245"/>
      <c r="I279" s="244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</row>
    <row r="280">
      <c r="A280" s="245"/>
      <c r="B280" s="245"/>
      <c r="C280" s="245"/>
      <c r="D280" s="245"/>
      <c r="E280" s="245"/>
      <c r="F280" s="245"/>
      <c r="G280" s="245"/>
      <c r="H280" s="245"/>
      <c r="I280" s="244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</row>
    <row r="281">
      <c r="A281" s="245"/>
      <c r="B281" s="245"/>
      <c r="C281" s="245"/>
      <c r="D281" s="245"/>
      <c r="E281" s="245"/>
      <c r="F281" s="245"/>
      <c r="G281" s="245"/>
      <c r="H281" s="245"/>
      <c r="I281" s="244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</row>
    <row r="282">
      <c r="A282" s="245"/>
      <c r="B282" s="245"/>
      <c r="C282" s="245"/>
      <c r="D282" s="245"/>
      <c r="E282" s="245"/>
      <c r="F282" s="245"/>
      <c r="G282" s="245"/>
      <c r="H282" s="245"/>
      <c r="I282" s="244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</row>
    <row r="283">
      <c r="A283" s="245"/>
      <c r="B283" s="245"/>
      <c r="C283" s="245"/>
      <c r="D283" s="245"/>
      <c r="E283" s="245"/>
      <c r="F283" s="245"/>
      <c r="G283" s="245"/>
      <c r="H283" s="245"/>
      <c r="I283" s="244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</row>
    <row r="284">
      <c r="A284" s="245"/>
      <c r="B284" s="245"/>
      <c r="C284" s="245"/>
      <c r="D284" s="245"/>
      <c r="E284" s="245"/>
      <c r="F284" s="245"/>
      <c r="G284" s="245"/>
      <c r="H284" s="245"/>
      <c r="I284" s="244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</row>
    <row r="285">
      <c r="A285" s="245"/>
      <c r="B285" s="245"/>
      <c r="C285" s="245"/>
      <c r="D285" s="245"/>
      <c r="E285" s="245"/>
      <c r="F285" s="245"/>
      <c r="G285" s="245"/>
      <c r="H285" s="245"/>
      <c r="I285" s="244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</row>
    <row r="286">
      <c r="A286" s="245"/>
      <c r="B286" s="245"/>
      <c r="C286" s="245"/>
      <c r="D286" s="245"/>
      <c r="E286" s="245"/>
      <c r="F286" s="245"/>
      <c r="G286" s="245"/>
      <c r="H286" s="245"/>
      <c r="I286" s="244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</row>
    <row r="287">
      <c r="A287" s="245"/>
      <c r="B287" s="245"/>
      <c r="C287" s="245"/>
      <c r="D287" s="245"/>
      <c r="E287" s="245"/>
      <c r="F287" s="245"/>
      <c r="G287" s="245"/>
      <c r="H287" s="245"/>
      <c r="I287" s="244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</row>
    <row r="288">
      <c r="A288" s="245"/>
      <c r="B288" s="245"/>
      <c r="C288" s="245"/>
      <c r="D288" s="245"/>
      <c r="E288" s="245"/>
      <c r="F288" s="245"/>
      <c r="G288" s="245"/>
      <c r="H288" s="245"/>
      <c r="I288" s="244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</row>
    <row r="289">
      <c r="A289" s="245"/>
      <c r="B289" s="245"/>
      <c r="C289" s="245"/>
      <c r="D289" s="245"/>
      <c r="E289" s="245"/>
      <c r="F289" s="245"/>
      <c r="G289" s="245"/>
      <c r="H289" s="245"/>
      <c r="I289" s="244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</row>
    <row r="290">
      <c r="A290" s="245"/>
      <c r="B290" s="245"/>
      <c r="C290" s="245"/>
      <c r="D290" s="245"/>
      <c r="E290" s="245"/>
      <c r="F290" s="245"/>
      <c r="G290" s="245"/>
      <c r="H290" s="245"/>
      <c r="I290" s="244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</row>
    <row r="291">
      <c r="A291" s="245"/>
      <c r="B291" s="245"/>
      <c r="C291" s="245"/>
      <c r="D291" s="245"/>
      <c r="E291" s="245"/>
      <c r="F291" s="245"/>
      <c r="G291" s="245"/>
      <c r="H291" s="245"/>
      <c r="I291" s="244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</row>
    <row r="292">
      <c r="A292" s="245"/>
      <c r="B292" s="245"/>
      <c r="C292" s="245"/>
      <c r="D292" s="245"/>
      <c r="E292" s="245"/>
      <c r="F292" s="245"/>
      <c r="G292" s="245"/>
      <c r="H292" s="245"/>
      <c r="I292" s="244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</row>
    <row r="293">
      <c r="A293" s="245"/>
      <c r="B293" s="245"/>
      <c r="C293" s="245"/>
      <c r="D293" s="245"/>
      <c r="E293" s="245"/>
      <c r="F293" s="245"/>
      <c r="G293" s="245"/>
      <c r="H293" s="245"/>
      <c r="I293" s="244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</row>
    <row r="294">
      <c r="A294" s="245"/>
      <c r="B294" s="245"/>
      <c r="C294" s="245"/>
      <c r="D294" s="245"/>
      <c r="E294" s="245"/>
      <c r="F294" s="245"/>
      <c r="G294" s="245"/>
      <c r="H294" s="245"/>
      <c r="I294" s="244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</row>
    <row r="295">
      <c r="A295" s="245"/>
      <c r="B295" s="245"/>
      <c r="C295" s="245"/>
      <c r="D295" s="245"/>
      <c r="E295" s="245"/>
      <c r="F295" s="245"/>
      <c r="G295" s="245"/>
      <c r="H295" s="245"/>
      <c r="I295" s="244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</row>
    <row r="296">
      <c r="A296" s="245"/>
      <c r="B296" s="245"/>
      <c r="C296" s="245"/>
      <c r="D296" s="245"/>
      <c r="E296" s="245"/>
      <c r="F296" s="245"/>
      <c r="G296" s="245"/>
      <c r="H296" s="245"/>
      <c r="I296" s="244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</row>
    <row r="297">
      <c r="A297" s="245"/>
      <c r="B297" s="245"/>
      <c r="C297" s="245"/>
      <c r="D297" s="245"/>
      <c r="E297" s="245"/>
      <c r="F297" s="245"/>
      <c r="G297" s="245"/>
      <c r="H297" s="245"/>
      <c r="I297" s="244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</row>
    <row r="298">
      <c r="A298" s="245"/>
      <c r="B298" s="245"/>
      <c r="C298" s="245"/>
      <c r="D298" s="245"/>
      <c r="E298" s="245"/>
      <c r="F298" s="245"/>
      <c r="G298" s="245"/>
      <c r="H298" s="245"/>
      <c r="I298" s="244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</row>
    <row r="299">
      <c r="A299" s="245"/>
      <c r="B299" s="245"/>
      <c r="C299" s="245"/>
      <c r="D299" s="245"/>
      <c r="E299" s="245"/>
      <c r="F299" s="245"/>
      <c r="G299" s="245"/>
      <c r="H299" s="245"/>
      <c r="I299" s="244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</row>
    <row r="300">
      <c r="A300" s="245"/>
      <c r="B300" s="245"/>
      <c r="C300" s="245"/>
      <c r="D300" s="245"/>
      <c r="E300" s="245"/>
      <c r="F300" s="245"/>
      <c r="G300" s="245"/>
      <c r="H300" s="245"/>
      <c r="I300" s="244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</row>
    <row r="301">
      <c r="A301" s="245"/>
      <c r="B301" s="245"/>
      <c r="C301" s="245"/>
      <c r="D301" s="245"/>
      <c r="E301" s="245"/>
      <c r="F301" s="245"/>
      <c r="G301" s="245"/>
      <c r="H301" s="245"/>
      <c r="I301" s="244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</row>
    <row r="302">
      <c r="A302" s="245"/>
      <c r="B302" s="245"/>
      <c r="C302" s="245"/>
      <c r="D302" s="245"/>
      <c r="E302" s="245"/>
      <c r="F302" s="245"/>
      <c r="G302" s="245"/>
      <c r="H302" s="245"/>
      <c r="I302" s="244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</row>
    <row r="303">
      <c r="A303" s="245"/>
      <c r="B303" s="245"/>
      <c r="C303" s="245"/>
      <c r="D303" s="245"/>
      <c r="E303" s="245"/>
      <c r="F303" s="245"/>
      <c r="G303" s="245"/>
      <c r="H303" s="245"/>
      <c r="I303" s="244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</row>
    <row r="304">
      <c r="A304" s="245"/>
      <c r="B304" s="245"/>
      <c r="C304" s="245"/>
      <c r="D304" s="245"/>
      <c r="E304" s="245"/>
      <c r="F304" s="245"/>
      <c r="G304" s="245"/>
      <c r="H304" s="245"/>
      <c r="I304" s="244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</row>
    <row r="305">
      <c r="A305" s="245"/>
      <c r="B305" s="245"/>
      <c r="C305" s="245"/>
      <c r="D305" s="245"/>
      <c r="E305" s="245"/>
      <c r="F305" s="245"/>
      <c r="G305" s="245"/>
      <c r="H305" s="245"/>
      <c r="I305" s="244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</row>
    <row r="306">
      <c r="A306" s="245"/>
      <c r="B306" s="245"/>
      <c r="C306" s="245"/>
      <c r="D306" s="245"/>
      <c r="E306" s="245"/>
      <c r="F306" s="245"/>
      <c r="G306" s="245"/>
      <c r="H306" s="245"/>
      <c r="I306" s="244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</row>
    <row r="307">
      <c r="A307" s="245"/>
      <c r="B307" s="245"/>
      <c r="C307" s="245"/>
      <c r="D307" s="245"/>
      <c r="E307" s="245"/>
      <c r="F307" s="245"/>
      <c r="G307" s="245"/>
      <c r="H307" s="245"/>
      <c r="I307" s="244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</row>
    <row r="308">
      <c r="A308" s="245"/>
      <c r="B308" s="245"/>
      <c r="C308" s="245"/>
      <c r="D308" s="245"/>
      <c r="E308" s="245"/>
      <c r="F308" s="245"/>
      <c r="G308" s="245"/>
      <c r="H308" s="245"/>
      <c r="I308" s="244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</row>
    <row r="309">
      <c r="A309" s="245"/>
      <c r="B309" s="245"/>
      <c r="C309" s="245"/>
      <c r="D309" s="245"/>
      <c r="E309" s="245"/>
      <c r="F309" s="245"/>
      <c r="G309" s="245"/>
      <c r="H309" s="245"/>
      <c r="I309" s="244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</row>
    <row r="310">
      <c r="A310" s="245"/>
      <c r="B310" s="245"/>
      <c r="C310" s="245"/>
      <c r="D310" s="245"/>
      <c r="E310" s="245"/>
      <c r="F310" s="245"/>
      <c r="G310" s="245"/>
      <c r="H310" s="245"/>
      <c r="I310" s="244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</row>
    <row r="311">
      <c r="A311" s="245"/>
      <c r="B311" s="245"/>
      <c r="C311" s="245"/>
      <c r="D311" s="245"/>
      <c r="E311" s="245"/>
      <c r="F311" s="245"/>
      <c r="G311" s="245"/>
      <c r="H311" s="245"/>
      <c r="I311" s="244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</row>
    <row r="312">
      <c r="A312" s="245"/>
      <c r="B312" s="245"/>
      <c r="C312" s="245"/>
      <c r="D312" s="245"/>
      <c r="E312" s="245"/>
      <c r="F312" s="245"/>
      <c r="G312" s="245"/>
      <c r="H312" s="245"/>
      <c r="I312" s="244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</row>
    <row r="313">
      <c r="A313" s="245"/>
      <c r="B313" s="245"/>
      <c r="C313" s="245"/>
      <c r="D313" s="245"/>
      <c r="E313" s="245"/>
      <c r="F313" s="245"/>
      <c r="G313" s="245"/>
      <c r="H313" s="245"/>
      <c r="I313" s="244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</row>
    <row r="314">
      <c r="A314" s="245"/>
      <c r="B314" s="245"/>
      <c r="C314" s="245"/>
      <c r="D314" s="245"/>
      <c r="E314" s="245"/>
      <c r="F314" s="245"/>
      <c r="G314" s="245"/>
      <c r="H314" s="245"/>
      <c r="I314" s="244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</row>
    <row r="315">
      <c r="A315" s="245"/>
      <c r="B315" s="245"/>
      <c r="C315" s="245"/>
      <c r="D315" s="245"/>
      <c r="E315" s="245"/>
      <c r="F315" s="245"/>
      <c r="G315" s="245"/>
      <c r="H315" s="245"/>
      <c r="I315" s="244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</row>
    <row r="316">
      <c r="A316" s="245"/>
      <c r="B316" s="245"/>
      <c r="C316" s="245"/>
      <c r="D316" s="245"/>
      <c r="E316" s="245"/>
      <c r="F316" s="245"/>
      <c r="G316" s="245"/>
      <c r="H316" s="245"/>
      <c r="I316" s="244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</row>
    <row r="317">
      <c r="A317" s="245"/>
      <c r="B317" s="245"/>
      <c r="C317" s="245"/>
      <c r="D317" s="245"/>
      <c r="E317" s="245"/>
      <c r="F317" s="245"/>
      <c r="G317" s="245"/>
      <c r="H317" s="245"/>
      <c r="I317" s="244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</row>
    <row r="318">
      <c r="A318" s="245"/>
      <c r="B318" s="245"/>
      <c r="C318" s="245"/>
      <c r="D318" s="245"/>
      <c r="E318" s="245"/>
      <c r="F318" s="245"/>
      <c r="G318" s="245"/>
      <c r="H318" s="245"/>
      <c r="I318" s="244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</row>
    <row r="319">
      <c r="A319" s="245"/>
      <c r="B319" s="245"/>
      <c r="C319" s="245"/>
      <c r="D319" s="245"/>
      <c r="E319" s="245"/>
      <c r="F319" s="245"/>
      <c r="G319" s="245"/>
      <c r="H319" s="245"/>
      <c r="I319" s="244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</row>
    <row r="320">
      <c r="A320" s="245"/>
      <c r="B320" s="245"/>
      <c r="C320" s="245"/>
      <c r="D320" s="245"/>
      <c r="E320" s="245"/>
      <c r="F320" s="245"/>
      <c r="G320" s="245"/>
      <c r="H320" s="245"/>
      <c r="I320" s="244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</row>
    <row r="321">
      <c r="A321" s="245"/>
      <c r="B321" s="245"/>
      <c r="C321" s="245"/>
      <c r="D321" s="245"/>
      <c r="E321" s="245"/>
      <c r="F321" s="245"/>
      <c r="G321" s="245"/>
      <c r="H321" s="245"/>
      <c r="I321" s="244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</row>
    <row r="322">
      <c r="A322" s="245"/>
      <c r="B322" s="245"/>
      <c r="C322" s="245"/>
      <c r="D322" s="245"/>
      <c r="E322" s="245"/>
      <c r="F322" s="245"/>
      <c r="G322" s="245"/>
      <c r="H322" s="245"/>
      <c r="I322" s="244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</row>
    <row r="323">
      <c r="A323" s="245"/>
      <c r="B323" s="245"/>
      <c r="C323" s="245"/>
      <c r="D323" s="245"/>
      <c r="E323" s="245"/>
      <c r="F323" s="245"/>
      <c r="G323" s="245"/>
      <c r="H323" s="245"/>
      <c r="I323" s="244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</row>
    <row r="324">
      <c r="A324" s="245"/>
      <c r="B324" s="245"/>
      <c r="C324" s="245"/>
      <c r="D324" s="245"/>
      <c r="E324" s="245"/>
      <c r="F324" s="245"/>
      <c r="G324" s="245"/>
      <c r="H324" s="245"/>
      <c r="I324" s="244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</row>
    <row r="325">
      <c r="A325" s="245"/>
      <c r="B325" s="245"/>
      <c r="C325" s="245"/>
      <c r="D325" s="245"/>
      <c r="E325" s="245"/>
      <c r="F325" s="245"/>
      <c r="G325" s="245"/>
      <c r="H325" s="245"/>
      <c r="I325" s="244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</row>
    <row r="326">
      <c r="A326" s="245"/>
      <c r="B326" s="245"/>
      <c r="C326" s="245"/>
      <c r="D326" s="245"/>
      <c r="E326" s="245"/>
      <c r="F326" s="245"/>
      <c r="G326" s="245"/>
      <c r="H326" s="245"/>
      <c r="I326" s="244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</row>
    <row r="327">
      <c r="A327" s="245"/>
      <c r="B327" s="245"/>
      <c r="C327" s="245"/>
      <c r="D327" s="245"/>
      <c r="E327" s="245"/>
      <c r="F327" s="245"/>
      <c r="G327" s="245"/>
      <c r="H327" s="245"/>
      <c r="I327" s="244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</row>
    <row r="328">
      <c r="A328" s="245"/>
      <c r="B328" s="245"/>
      <c r="C328" s="245"/>
      <c r="D328" s="245"/>
      <c r="E328" s="245"/>
      <c r="F328" s="245"/>
      <c r="G328" s="245"/>
      <c r="H328" s="245"/>
      <c r="I328" s="244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</row>
    <row r="329">
      <c r="A329" s="245"/>
      <c r="B329" s="245"/>
      <c r="C329" s="245"/>
      <c r="D329" s="245"/>
      <c r="E329" s="245"/>
      <c r="F329" s="245"/>
      <c r="G329" s="245"/>
      <c r="H329" s="245"/>
      <c r="I329" s="244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</row>
    <row r="330">
      <c r="A330" s="245"/>
      <c r="B330" s="245"/>
      <c r="C330" s="245"/>
      <c r="D330" s="245"/>
      <c r="E330" s="245"/>
      <c r="F330" s="245"/>
      <c r="G330" s="245"/>
      <c r="H330" s="245"/>
      <c r="I330" s="244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</row>
    <row r="331">
      <c r="A331" s="245"/>
      <c r="B331" s="245"/>
      <c r="C331" s="245"/>
      <c r="D331" s="245"/>
      <c r="E331" s="245"/>
      <c r="F331" s="245"/>
      <c r="G331" s="245"/>
      <c r="H331" s="245"/>
      <c r="I331" s="244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</row>
    <row r="332">
      <c r="A332" s="245"/>
      <c r="B332" s="245"/>
      <c r="C332" s="245"/>
      <c r="D332" s="245"/>
      <c r="E332" s="245"/>
      <c r="F332" s="245"/>
      <c r="G332" s="245"/>
      <c r="H332" s="245"/>
      <c r="I332" s="244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</row>
    <row r="333">
      <c r="A333" s="245"/>
      <c r="B333" s="245"/>
      <c r="C333" s="245"/>
      <c r="D333" s="245"/>
      <c r="E333" s="245"/>
      <c r="F333" s="245"/>
      <c r="G333" s="245"/>
      <c r="H333" s="245"/>
      <c r="I333" s="244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</row>
    <row r="334">
      <c r="A334" s="245"/>
      <c r="B334" s="245"/>
      <c r="C334" s="245"/>
      <c r="D334" s="245"/>
      <c r="E334" s="245"/>
      <c r="F334" s="245"/>
      <c r="G334" s="245"/>
      <c r="H334" s="245"/>
      <c r="I334" s="244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</row>
    <row r="335">
      <c r="A335" s="245"/>
      <c r="B335" s="245"/>
      <c r="C335" s="245"/>
      <c r="D335" s="245"/>
      <c r="E335" s="245"/>
      <c r="F335" s="245"/>
      <c r="G335" s="245"/>
      <c r="H335" s="245"/>
      <c r="I335" s="244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</row>
    <row r="336">
      <c r="A336" s="245"/>
      <c r="B336" s="245"/>
      <c r="C336" s="245"/>
      <c r="D336" s="245"/>
      <c r="E336" s="245"/>
      <c r="F336" s="245"/>
      <c r="G336" s="245"/>
      <c r="H336" s="245"/>
      <c r="I336" s="244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</row>
    <row r="337">
      <c r="A337" s="245"/>
      <c r="B337" s="245"/>
      <c r="C337" s="245"/>
      <c r="D337" s="245"/>
      <c r="E337" s="245"/>
      <c r="F337" s="245"/>
      <c r="G337" s="245"/>
      <c r="H337" s="245"/>
      <c r="I337" s="244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</row>
    <row r="338">
      <c r="A338" s="245"/>
      <c r="B338" s="245"/>
      <c r="C338" s="245"/>
      <c r="D338" s="245"/>
      <c r="E338" s="245"/>
      <c r="F338" s="245"/>
      <c r="G338" s="245"/>
      <c r="H338" s="245"/>
      <c r="I338" s="244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</row>
    <row r="339">
      <c r="A339" s="245"/>
      <c r="B339" s="245"/>
      <c r="C339" s="245"/>
      <c r="D339" s="245"/>
      <c r="E339" s="245"/>
      <c r="F339" s="245"/>
      <c r="G339" s="245"/>
      <c r="H339" s="245"/>
      <c r="I339" s="244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</row>
    <row r="340">
      <c r="A340" s="245"/>
      <c r="B340" s="245"/>
      <c r="C340" s="245"/>
      <c r="D340" s="245"/>
      <c r="E340" s="245"/>
      <c r="F340" s="245"/>
      <c r="G340" s="245"/>
      <c r="H340" s="245"/>
      <c r="I340" s="244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</row>
    <row r="341">
      <c r="A341" s="245"/>
      <c r="B341" s="245"/>
      <c r="C341" s="245"/>
      <c r="D341" s="245"/>
      <c r="E341" s="245"/>
      <c r="F341" s="245"/>
      <c r="G341" s="245"/>
      <c r="H341" s="245"/>
      <c r="I341" s="244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</row>
    <row r="342">
      <c r="A342" s="245"/>
      <c r="B342" s="245"/>
      <c r="C342" s="245"/>
      <c r="D342" s="245"/>
      <c r="E342" s="245"/>
      <c r="F342" s="245"/>
      <c r="G342" s="245"/>
      <c r="H342" s="245"/>
      <c r="I342" s="244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</row>
    <row r="343">
      <c r="A343" s="245"/>
      <c r="B343" s="245"/>
      <c r="C343" s="245"/>
      <c r="D343" s="245"/>
      <c r="E343" s="245"/>
      <c r="F343" s="245"/>
      <c r="G343" s="245"/>
      <c r="H343" s="245"/>
      <c r="I343" s="244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</row>
    <row r="344">
      <c r="A344" s="245"/>
      <c r="B344" s="245"/>
      <c r="C344" s="245"/>
      <c r="D344" s="245"/>
      <c r="E344" s="245"/>
      <c r="F344" s="245"/>
      <c r="G344" s="245"/>
      <c r="H344" s="245"/>
      <c r="I344" s="244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</row>
    <row r="345">
      <c r="A345" s="245"/>
      <c r="B345" s="245"/>
      <c r="C345" s="245"/>
      <c r="D345" s="245"/>
      <c r="E345" s="245"/>
      <c r="F345" s="245"/>
      <c r="G345" s="245"/>
      <c r="H345" s="245"/>
      <c r="I345" s="244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</row>
    <row r="346">
      <c r="A346" s="245"/>
      <c r="B346" s="245"/>
      <c r="C346" s="245"/>
      <c r="D346" s="245"/>
      <c r="E346" s="245"/>
      <c r="F346" s="245"/>
      <c r="G346" s="245"/>
      <c r="H346" s="245"/>
      <c r="I346" s="244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</row>
    <row r="347">
      <c r="A347" s="245"/>
      <c r="B347" s="245"/>
      <c r="C347" s="245"/>
      <c r="D347" s="245"/>
      <c r="E347" s="245"/>
      <c r="F347" s="245"/>
      <c r="G347" s="245"/>
      <c r="H347" s="245"/>
      <c r="I347" s="244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</row>
    <row r="348">
      <c r="A348" s="245"/>
      <c r="B348" s="245"/>
      <c r="C348" s="245"/>
      <c r="D348" s="245"/>
      <c r="E348" s="245"/>
      <c r="F348" s="245"/>
      <c r="G348" s="245"/>
      <c r="H348" s="245"/>
      <c r="I348" s="244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</row>
    <row r="349">
      <c r="A349" s="245"/>
      <c r="B349" s="245"/>
      <c r="C349" s="245"/>
      <c r="D349" s="245"/>
      <c r="E349" s="245"/>
      <c r="F349" s="245"/>
      <c r="G349" s="245"/>
      <c r="H349" s="245"/>
      <c r="I349" s="244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</row>
    <row r="350">
      <c r="A350" s="245"/>
      <c r="B350" s="245"/>
      <c r="C350" s="245"/>
      <c r="D350" s="245"/>
      <c r="E350" s="245"/>
      <c r="F350" s="245"/>
      <c r="G350" s="245"/>
      <c r="H350" s="245"/>
      <c r="I350" s="244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</row>
    <row r="351">
      <c r="A351" s="245"/>
      <c r="B351" s="245"/>
      <c r="C351" s="245"/>
      <c r="D351" s="245"/>
      <c r="E351" s="245"/>
      <c r="F351" s="245"/>
      <c r="G351" s="245"/>
      <c r="H351" s="245"/>
      <c r="I351" s="244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</row>
    <row r="352">
      <c r="A352" s="245"/>
      <c r="B352" s="245"/>
      <c r="C352" s="245"/>
      <c r="D352" s="245"/>
      <c r="E352" s="245"/>
      <c r="F352" s="245"/>
      <c r="G352" s="245"/>
      <c r="H352" s="245"/>
      <c r="I352" s="244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</row>
    <row r="353">
      <c r="A353" s="245"/>
      <c r="B353" s="245"/>
      <c r="C353" s="245"/>
      <c r="D353" s="245"/>
      <c r="E353" s="245"/>
      <c r="F353" s="245"/>
      <c r="G353" s="245"/>
      <c r="H353" s="245"/>
      <c r="I353" s="244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</row>
    <row r="354">
      <c r="A354" s="245"/>
      <c r="B354" s="245"/>
      <c r="C354" s="245"/>
      <c r="D354" s="245"/>
      <c r="E354" s="245"/>
      <c r="F354" s="245"/>
      <c r="G354" s="245"/>
      <c r="H354" s="245"/>
      <c r="I354" s="244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</row>
    <row r="355">
      <c r="A355" s="245"/>
      <c r="B355" s="245"/>
      <c r="C355" s="245"/>
      <c r="D355" s="245"/>
      <c r="E355" s="245"/>
      <c r="F355" s="245"/>
      <c r="G355" s="245"/>
      <c r="H355" s="245"/>
      <c r="I355" s="244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</row>
    <row r="356">
      <c r="A356" s="245"/>
      <c r="B356" s="245"/>
      <c r="C356" s="245"/>
      <c r="D356" s="245"/>
      <c r="E356" s="245"/>
      <c r="F356" s="245"/>
      <c r="G356" s="245"/>
      <c r="H356" s="245"/>
      <c r="I356" s="244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</row>
    <row r="357">
      <c r="A357" s="245"/>
      <c r="B357" s="245"/>
      <c r="C357" s="245"/>
      <c r="D357" s="245"/>
      <c r="E357" s="245"/>
      <c r="F357" s="245"/>
      <c r="G357" s="245"/>
      <c r="H357" s="245"/>
      <c r="I357" s="244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</row>
    <row r="358">
      <c r="A358" s="245"/>
      <c r="B358" s="245"/>
      <c r="C358" s="245"/>
      <c r="D358" s="245"/>
      <c r="E358" s="245"/>
      <c r="F358" s="245"/>
      <c r="G358" s="245"/>
      <c r="H358" s="245"/>
      <c r="I358" s="244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</row>
    <row r="359">
      <c r="A359" s="245"/>
      <c r="B359" s="245"/>
      <c r="C359" s="245"/>
      <c r="D359" s="245"/>
      <c r="E359" s="245"/>
      <c r="F359" s="245"/>
      <c r="G359" s="245"/>
      <c r="H359" s="245"/>
      <c r="I359" s="244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</row>
    <row r="360">
      <c r="A360" s="245"/>
      <c r="B360" s="245"/>
      <c r="C360" s="245"/>
      <c r="D360" s="245"/>
      <c r="E360" s="245"/>
      <c r="F360" s="245"/>
      <c r="G360" s="245"/>
      <c r="H360" s="245"/>
      <c r="I360" s="244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</row>
    <row r="361">
      <c r="A361" s="245"/>
      <c r="B361" s="245"/>
      <c r="C361" s="245"/>
      <c r="D361" s="245"/>
      <c r="E361" s="245"/>
      <c r="F361" s="245"/>
      <c r="G361" s="245"/>
      <c r="H361" s="245"/>
      <c r="I361" s="244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</row>
    <row r="362">
      <c r="A362" s="245"/>
      <c r="B362" s="245"/>
      <c r="C362" s="245"/>
      <c r="D362" s="245"/>
      <c r="E362" s="245"/>
      <c r="F362" s="245"/>
      <c r="G362" s="245"/>
      <c r="H362" s="245"/>
      <c r="I362" s="244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</row>
    <row r="363">
      <c r="A363" s="245"/>
      <c r="B363" s="245"/>
      <c r="C363" s="245"/>
      <c r="D363" s="245"/>
      <c r="E363" s="245"/>
      <c r="F363" s="245"/>
      <c r="G363" s="245"/>
      <c r="H363" s="245"/>
      <c r="I363" s="244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</row>
    <row r="364">
      <c r="A364" s="245"/>
      <c r="B364" s="245"/>
      <c r="C364" s="245"/>
      <c r="D364" s="245"/>
      <c r="E364" s="245"/>
      <c r="F364" s="245"/>
      <c r="G364" s="245"/>
      <c r="H364" s="245"/>
      <c r="I364" s="244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</row>
    <row r="365">
      <c r="A365" s="245"/>
      <c r="B365" s="245"/>
      <c r="C365" s="245"/>
      <c r="D365" s="245"/>
      <c r="E365" s="245"/>
      <c r="F365" s="245"/>
      <c r="G365" s="245"/>
      <c r="H365" s="245"/>
      <c r="I365" s="244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</row>
    <row r="366">
      <c r="A366" s="245"/>
      <c r="B366" s="245"/>
      <c r="C366" s="245"/>
      <c r="D366" s="245"/>
      <c r="E366" s="245"/>
      <c r="F366" s="245"/>
      <c r="G366" s="245"/>
      <c r="H366" s="245"/>
      <c r="I366" s="244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</row>
    <row r="367">
      <c r="A367" s="245"/>
      <c r="B367" s="245"/>
      <c r="C367" s="245"/>
      <c r="D367" s="245"/>
      <c r="E367" s="245"/>
      <c r="F367" s="245"/>
      <c r="G367" s="245"/>
      <c r="H367" s="245"/>
      <c r="I367" s="244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</row>
    <row r="368">
      <c r="A368" s="245"/>
      <c r="B368" s="245"/>
      <c r="C368" s="245"/>
      <c r="D368" s="245"/>
      <c r="E368" s="245"/>
      <c r="F368" s="245"/>
      <c r="G368" s="245"/>
      <c r="H368" s="245"/>
      <c r="I368" s="244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</row>
    <row r="369">
      <c r="A369" s="245"/>
      <c r="B369" s="245"/>
      <c r="C369" s="245"/>
      <c r="D369" s="245"/>
      <c r="E369" s="245"/>
      <c r="F369" s="245"/>
      <c r="G369" s="245"/>
      <c r="H369" s="245"/>
      <c r="I369" s="244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</row>
    <row r="370">
      <c r="A370" s="245"/>
      <c r="B370" s="245"/>
      <c r="C370" s="245"/>
      <c r="D370" s="245"/>
      <c r="E370" s="245"/>
      <c r="F370" s="245"/>
      <c r="G370" s="245"/>
      <c r="H370" s="245"/>
      <c r="I370" s="244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</row>
    <row r="371">
      <c r="A371" s="245"/>
      <c r="B371" s="245"/>
      <c r="C371" s="245"/>
      <c r="D371" s="245"/>
      <c r="E371" s="245"/>
      <c r="F371" s="245"/>
      <c r="G371" s="245"/>
      <c r="H371" s="245"/>
      <c r="I371" s="244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</row>
    <row r="372">
      <c r="A372" s="245"/>
      <c r="B372" s="245"/>
      <c r="C372" s="245"/>
      <c r="D372" s="245"/>
      <c r="E372" s="245"/>
      <c r="F372" s="245"/>
      <c r="G372" s="245"/>
      <c r="H372" s="245"/>
      <c r="I372" s="244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</row>
    <row r="373">
      <c r="A373" s="245"/>
      <c r="B373" s="245"/>
      <c r="C373" s="245"/>
      <c r="D373" s="245"/>
      <c r="E373" s="245"/>
      <c r="F373" s="245"/>
      <c r="G373" s="245"/>
      <c r="H373" s="245"/>
      <c r="I373" s="244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</row>
    <row r="374">
      <c r="A374" s="245"/>
      <c r="B374" s="245"/>
      <c r="C374" s="245"/>
      <c r="D374" s="245"/>
      <c r="E374" s="245"/>
      <c r="F374" s="245"/>
      <c r="G374" s="245"/>
      <c r="H374" s="245"/>
      <c r="I374" s="244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</row>
    <row r="375">
      <c r="A375" s="245"/>
      <c r="B375" s="245"/>
      <c r="C375" s="245"/>
      <c r="D375" s="245"/>
      <c r="E375" s="245"/>
      <c r="F375" s="245"/>
      <c r="G375" s="245"/>
      <c r="H375" s="245"/>
      <c r="I375" s="244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</row>
    <row r="376">
      <c r="A376" s="245"/>
      <c r="B376" s="245"/>
      <c r="C376" s="245"/>
      <c r="D376" s="245"/>
      <c r="E376" s="245"/>
      <c r="F376" s="245"/>
      <c r="G376" s="245"/>
      <c r="H376" s="245"/>
      <c r="I376" s="244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</row>
    <row r="377">
      <c r="A377" s="245"/>
      <c r="B377" s="245"/>
      <c r="C377" s="245"/>
      <c r="D377" s="245"/>
      <c r="E377" s="245"/>
      <c r="F377" s="245"/>
      <c r="G377" s="245"/>
      <c r="H377" s="245"/>
      <c r="I377" s="244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</row>
    <row r="378">
      <c r="A378" s="245"/>
      <c r="B378" s="245"/>
      <c r="C378" s="245"/>
      <c r="D378" s="245"/>
      <c r="E378" s="245"/>
      <c r="F378" s="245"/>
      <c r="G378" s="245"/>
      <c r="H378" s="245"/>
      <c r="I378" s="244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</row>
    <row r="379">
      <c r="A379" s="245"/>
      <c r="B379" s="245"/>
      <c r="C379" s="245"/>
      <c r="D379" s="245"/>
      <c r="E379" s="245"/>
      <c r="F379" s="245"/>
      <c r="G379" s="245"/>
      <c r="H379" s="245"/>
      <c r="I379" s="244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</row>
    <row r="380">
      <c r="A380" s="245"/>
      <c r="B380" s="245"/>
      <c r="C380" s="245"/>
      <c r="D380" s="245"/>
      <c r="E380" s="245"/>
      <c r="F380" s="245"/>
      <c r="G380" s="245"/>
      <c r="H380" s="245"/>
      <c r="I380" s="244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</row>
    <row r="381">
      <c r="A381" s="245"/>
      <c r="B381" s="245"/>
      <c r="C381" s="245"/>
      <c r="D381" s="245"/>
      <c r="E381" s="245"/>
      <c r="F381" s="245"/>
      <c r="G381" s="245"/>
      <c r="H381" s="245"/>
      <c r="I381" s="244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</row>
    <row r="382">
      <c r="A382" s="245"/>
      <c r="B382" s="245"/>
      <c r="C382" s="245"/>
      <c r="D382" s="245"/>
      <c r="E382" s="245"/>
      <c r="F382" s="245"/>
      <c r="G382" s="245"/>
      <c r="H382" s="245"/>
      <c r="I382" s="244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</row>
    <row r="383">
      <c r="A383" s="245"/>
      <c r="B383" s="245"/>
      <c r="C383" s="245"/>
      <c r="D383" s="245"/>
      <c r="E383" s="245"/>
      <c r="F383" s="245"/>
      <c r="G383" s="245"/>
      <c r="H383" s="245"/>
      <c r="I383" s="244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</row>
    <row r="384">
      <c r="A384" s="245"/>
      <c r="B384" s="245"/>
      <c r="C384" s="245"/>
      <c r="D384" s="245"/>
      <c r="E384" s="245"/>
      <c r="F384" s="245"/>
      <c r="G384" s="245"/>
      <c r="H384" s="245"/>
      <c r="I384" s="244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</row>
    <row r="385">
      <c r="A385" s="245"/>
      <c r="B385" s="245"/>
      <c r="C385" s="245"/>
      <c r="D385" s="245"/>
      <c r="E385" s="245"/>
      <c r="F385" s="245"/>
      <c r="G385" s="245"/>
      <c r="H385" s="245"/>
      <c r="I385" s="244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</row>
    <row r="386">
      <c r="A386" s="245"/>
      <c r="B386" s="245"/>
      <c r="C386" s="245"/>
      <c r="D386" s="245"/>
      <c r="E386" s="245"/>
      <c r="F386" s="245"/>
      <c r="G386" s="245"/>
      <c r="H386" s="245"/>
      <c r="I386" s="244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</row>
    <row r="387">
      <c r="A387" s="245"/>
      <c r="B387" s="245"/>
      <c r="C387" s="245"/>
      <c r="D387" s="245"/>
      <c r="E387" s="245"/>
      <c r="F387" s="245"/>
      <c r="G387" s="245"/>
      <c r="H387" s="245"/>
      <c r="I387" s="244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</row>
    <row r="388">
      <c r="A388" s="245"/>
      <c r="B388" s="245"/>
      <c r="C388" s="245"/>
      <c r="D388" s="245"/>
      <c r="E388" s="245"/>
      <c r="F388" s="245"/>
      <c r="G388" s="245"/>
      <c r="H388" s="245"/>
      <c r="I388" s="244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</row>
    <row r="389">
      <c r="A389" s="245"/>
      <c r="B389" s="245"/>
      <c r="C389" s="245"/>
      <c r="D389" s="245"/>
      <c r="E389" s="245"/>
      <c r="F389" s="245"/>
      <c r="G389" s="245"/>
      <c r="H389" s="245"/>
      <c r="I389" s="244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</row>
    <row r="390">
      <c r="A390" s="245"/>
      <c r="B390" s="245"/>
      <c r="C390" s="245"/>
      <c r="D390" s="245"/>
      <c r="E390" s="245"/>
      <c r="F390" s="245"/>
      <c r="G390" s="245"/>
      <c r="H390" s="245"/>
      <c r="I390" s="244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</row>
    <row r="391">
      <c r="A391" s="245"/>
      <c r="B391" s="245"/>
      <c r="C391" s="245"/>
      <c r="D391" s="245"/>
      <c r="E391" s="245"/>
      <c r="F391" s="245"/>
      <c r="G391" s="245"/>
      <c r="H391" s="245"/>
      <c r="I391" s="244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</row>
    <row r="392">
      <c r="A392" s="245"/>
      <c r="B392" s="245"/>
      <c r="C392" s="245"/>
      <c r="D392" s="245"/>
      <c r="E392" s="245"/>
      <c r="F392" s="245"/>
      <c r="G392" s="245"/>
      <c r="H392" s="245"/>
      <c r="I392" s="244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</row>
    <row r="393">
      <c r="A393" s="245"/>
      <c r="B393" s="245"/>
      <c r="C393" s="245"/>
      <c r="D393" s="245"/>
      <c r="E393" s="245"/>
      <c r="F393" s="245"/>
      <c r="G393" s="245"/>
      <c r="H393" s="245"/>
      <c r="I393" s="244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</row>
    <row r="394">
      <c r="A394" s="245"/>
      <c r="B394" s="245"/>
      <c r="C394" s="245"/>
      <c r="D394" s="245"/>
      <c r="E394" s="245"/>
      <c r="F394" s="245"/>
      <c r="G394" s="245"/>
      <c r="H394" s="245"/>
      <c r="I394" s="244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</row>
    <row r="395">
      <c r="A395" s="245"/>
      <c r="B395" s="245"/>
      <c r="C395" s="245"/>
      <c r="D395" s="245"/>
      <c r="E395" s="245"/>
      <c r="F395" s="245"/>
      <c r="G395" s="245"/>
      <c r="H395" s="245"/>
      <c r="I395" s="244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</row>
    <row r="396">
      <c r="A396" s="245"/>
      <c r="B396" s="245"/>
      <c r="C396" s="245"/>
      <c r="D396" s="245"/>
      <c r="E396" s="245"/>
      <c r="F396" s="245"/>
      <c r="G396" s="245"/>
      <c r="H396" s="245"/>
      <c r="I396" s="244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</row>
    <row r="397">
      <c r="A397" s="245"/>
      <c r="B397" s="245"/>
      <c r="C397" s="245"/>
      <c r="D397" s="245"/>
      <c r="E397" s="245"/>
      <c r="F397" s="245"/>
      <c r="G397" s="245"/>
      <c r="H397" s="245"/>
      <c r="I397" s="244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</row>
    <row r="398">
      <c r="A398" s="245"/>
      <c r="B398" s="245"/>
      <c r="C398" s="245"/>
      <c r="D398" s="245"/>
      <c r="E398" s="245"/>
      <c r="F398" s="245"/>
      <c r="G398" s="245"/>
      <c r="H398" s="245"/>
      <c r="I398" s="244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</row>
    <row r="399">
      <c r="A399" s="245"/>
      <c r="B399" s="245"/>
      <c r="C399" s="245"/>
      <c r="D399" s="245"/>
      <c r="E399" s="245"/>
      <c r="F399" s="245"/>
      <c r="G399" s="245"/>
      <c r="H399" s="245"/>
      <c r="I399" s="244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</row>
    <row r="400">
      <c r="A400" s="245"/>
      <c r="B400" s="245"/>
      <c r="C400" s="245"/>
      <c r="D400" s="245"/>
      <c r="E400" s="245"/>
      <c r="F400" s="245"/>
      <c r="G400" s="245"/>
      <c r="H400" s="245"/>
      <c r="I400" s="244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</row>
    <row r="401">
      <c r="A401" s="245"/>
      <c r="B401" s="245"/>
      <c r="C401" s="245"/>
      <c r="D401" s="245"/>
      <c r="E401" s="245"/>
      <c r="F401" s="245"/>
      <c r="G401" s="245"/>
      <c r="H401" s="245"/>
      <c r="I401" s="244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</row>
    <row r="402">
      <c r="A402" s="245"/>
      <c r="B402" s="245"/>
      <c r="C402" s="245"/>
      <c r="D402" s="245"/>
      <c r="E402" s="245"/>
      <c r="F402" s="245"/>
      <c r="G402" s="245"/>
      <c r="H402" s="245"/>
      <c r="I402" s="244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</row>
    <row r="403">
      <c r="A403" s="245"/>
      <c r="B403" s="245"/>
      <c r="C403" s="245"/>
      <c r="D403" s="245"/>
      <c r="E403" s="245"/>
      <c r="F403" s="245"/>
      <c r="G403" s="245"/>
      <c r="H403" s="245"/>
      <c r="I403" s="244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</row>
    <row r="404">
      <c r="A404" s="245"/>
      <c r="B404" s="245"/>
      <c r="C404" s="245"/>
      <c r="D404" s="245"/>
      <c r="E404" s="245"/>
      <c r="F404" s="245"/>
      <c r="G404" s="245"/>
      <c r="H404" s="245"/>
      <c r="I404" s="244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</row>
    <row r="405">
      <c r="A405" s="245"/>
      <c r="B405" s="245"/>
      <c r="C405" s="245"/>
      <c r="D405" s="245"/>
      <c r="E405" s="245"/>
      <c r="F405" s="245"/>
      <c r="G405" s="245"/>
      <c r="H405" s="245"/>
      <c r="I405" s="244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</row>
    <row r="406">
      <c r="A406" s="245"/>
      <c r="B406" s="245"/>
      <c r="C406" s="245"/>
      <c r="D406" s="245"/>
      <c r="E406" s="245"/>
      <c r="F406" s="245"/>
      <c r="G406" s="245"/>
      <c r="H406" s="245"/>
      <c r="I406" s="244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</row>
    <row r="407">
      <c r="A407" s="245"/>
      <c r="B407" s="245"/>
      <c r="C407" s="245"/>
      <c r="D407" s="245"/>
      <c r="E407" s="245"/>
      <c r="F407" s="245"/>
      <c r="G407" s="245"/>
      <c r="H407" s="245"/>
      <c r="I407" s="244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</row>
    <row r="408">
      <c r="A408" s="245"/>
      <c r="B408" s="245"/>
      <c r="C408" s="245"/>
      <c r="D408" s="245"/>
      <c r="E408" s="245"/>
      <c r="F408" s="245"/>
      <c r="G408" s="245"/>
      <c r="H408" s="245"/>
      <c r="I408" s="244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</row>
    <row r="409">
      <c r="A409" s="245"/>
      <c r="B409" s="245"/>
      <c r="C409" s="245"/>
      <c r="D409" s="245"/>
      <c r="E409" s="245"/>
      <c r="F409" s="245"/>
      <c r="G409" s="245"/>
      <c r="H409" s="245"/>
      <c r="I409" s="244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</row>
    <row r="410">
      <c r="A410" s="245"/>
      <c r="B410" s="245"/>
      <c r="C410" s="245"/>
      <c r="D410" s="245"/>
      <c r="E410" s="245"/>
      <c r="F410" s="245"/>
      <c r="G410" s="245"/>
      <c r="H410" s="245"/>
      <c r="I410" s="244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</row>
    <row r="411">
      <c r="A411" s="245"/>
      <c r="B411" s="245"/>
      <c r="C411" s="245"/>
      <c r="D411" s="245"/>
      <c r="E411" s="245"/>
      <c r="F411" s="245"/>
      <c r="G411" s="245"/>
      <c r="H411" s="245"/>
      <c r="I411" s="244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</row>
    <row r="412">
      <c r="A412" s="245"/>
      <c r="B412" s="245"/>
      <c r="C412" s="245"/>
      <c r="D412" s="245"/>
      <c r="E412" s="245"/>
      <c r="F412" s="245"/>
      <c r="G412" s="245"/>
      <c r="H412" s="245"/>
      <c r="I412" s="244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</row>
    <row r="413">
      <c r="A413" s="245"/>
      <c r="B413" s="245"/>
      <c r="C413" s="245"/>
      <c r="D413" s="245"/>
      <c r="E413" s="245"/>
      <c r="F413" s="245"/>
      <c r="G413" s="245"/>
      <c r="H413" s="245"/>
      <c r="I413" s="244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</row>
    <row r="414">
      <c r="A414" s="245"/>
      <c r="B414" s="245"/>
      <c r="C414" s="245"/>
      <c r="D414" s="245"/>
      <c r="E414" s="245"/>
      <c r="F414" s="245"/>
      <c r="G414" s="245"/>
      <c r="H414" s="245"/>
      <c r="I414" s="244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</row>
    <row r="415">
      <c r="A415" s="245"/>
      <c r="B415" s="245"/>
      <c r="C415" s="245"/>
      <c r="D415" s="245"/>
      <c r="E415" s="245"/>
      <c r="F415" s="245"/>
      <c r="G415" s="245"/>
      <c r="H415" s="245"/>
      <c r="I415" s="244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</row>
    <row r="416">
      <c r="A416" s="245"/>
      <c r="B416" s="245"/>
      <c r="C416" s="245"/>
      <c r="D416" s="245"/>
      <c r="E416" s="245"/>
      <c r="F416" s="245"/>
      <c r="G416" s="245"/>
      <c r="H416" s="245"/>
      <c r="I416" s="244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</row>
    <row r="417">
      <c r="A417" s="245"/>
      <c r="B417" s="245"/>
      <c r="C417" s="245"/>
      <c r="D417" s="245"/>
      <c r="E417" s="245"/>
      <c r="F417" s="245"/>
      <c r="G417" s="245"/>
      <c r="H417" s="245"/>
      <c r="I417" s="244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</row>
    <row r="418">
      <c r="A418" s="245"/>
      <c r="B418" s="245"/>
      <c r="C418" s="245"/>
      <c r="D418" s="245"/>
      <c r="E418" s="245"/>
      <c r="F418" s="245"/>
      <c r="G418" s="245"/>
      <c r="H418" s="245"/>
      <c r="I418" s="244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</row>
    <row r="419">
      <c r="A419" s="245"/>
      <c r="B419" s="245"/>
      <c r="C419" s="245"/>
      <c r="D419" s="245"/>
      <c r="E419" s="245"/>
      <c r="F419" s="245"/>
      <c r="G419" s="245"/>
      <c r="H419" s="245"/>
      <c r="I419" s="244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</row>
    <row r="420">
      <c r="A420" s="245"/>
      <c r="B420" s="245"/>
      <c r="C420" s="245"/>
      <c r="D420" s="245"/>
      <c r="E420" s="245"/>
      <c r="F420" s="245"/>
      <c r="G420" s="245"/>
      <c r="H420" s="245"/>
      <c r="I420" s="244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</row>
    <row r="421">
      <c r="A421" s="245"/>
      <c r="B421" s="245"/>
      <c r="C421" s="245"/>
      <c r="D421" s="245"/>
      <c r="E421" s="245"/>
      <c r="F421" s="245"/>
      <c r="G421" s="245"/>
      <c r="H421" s="245"/>
      <c r="I421" s="244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</row>
    <row r="422">
      <c r="A422" s="245"/>
      <c r="B422" s="245"/>
      <c r="C422" s="245"/>
      <c r="D422" s="245"/>
      <c r="E422" s="245"/>
      <c r="F422" s="245"/>
      <c r="G422" s="245"/>
      <c r="H422" s="245"/>
      <c r="I422" s="244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</row>
    <row r="423">
      <c r="A423" s="245"/>
      <c r="B423" s="245"/>
      <c r="C423" s="245"/>
      <c r="D423" s="245"/>
      <c r="E423" s="245"/>
      <c r="F423" s="245"/>
      <c r="G423" s="245"/>
      <c r="H423" s="245"/>
      <c r="I423" s="244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</row>
    <row r="424">
      <c r="A424" s="245"/>
      <c r="B424" s="245"/>
      <c r="C424" s="245"/>
      <c r="D424" s="245"/>
      <c r="E424" s="245"/>
      <c r="F424" s="245"/>
      <c r="G424" s="245"/>
      <c r="H424" s="245"/>
      <c r="I424" s="244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</row>
    <row r="425">
      <c r="A425" s="245"/>
      <c r="B425" s="245"/>
      <c r="C425" s="245"/>
      <c r="D425" s="245"/>
      <c r="E425" s="245"/>
      <c r="F425" s="245"/>
      <c r="G425" s="245"/>
      <c r="H425" s="245"/>
      <c r="I425" s="244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</row>
    <row r="426">
      <c r="A426" s="245"/>
      <c r="B426" s="245"/>
      <c r="C426" s="245"/>
      <c r="D426" s="245"/>
      <c r="E426" s="245"/>
      <c r="F426" s="245"/>
      <c r="G426" s="245"/>
      <c r="H426" s="245"/>
      <c r="I426" s="244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</row>
    <row r="427">
      <c r="A427" s="245"/>
      <c r="B427" s="245"/>
      <c r="C427" s="245"/>
      <c r="D427" s="245"/>
      <c r="E427" s="245"/>
      <c r="F427" s="245"/>
      <c r="G427" s="245"/>
      <c r="H427" s="245"/>
      <c r="I427" s="244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</row>
    <row r="428">
      <c r="A428" s="245"/>
      <c r="B428" s="245"/>
      <c r="C428" s="245"/>
      <c r="D428" s="245"/>
      <c r="E428" s="245"/>
      <c r="F428" s="245"/>
      <c r="G428" s="245"/>
      <c r="H428" s="245"/>
      <c r="I428" s="244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</row>
    <row r="429">
      <c r="A429" s="245"/>
      <c r="B429" s="245"/>
      <c r="C429" s="245"/>
      <c r="D429" s="245"/>
      <c r="E429" s="245"/>
      <c r="F429" s="245"/>
      <c r="G429" s="245"/>
      <c r="H429" s="245"/>
      <c r="I429" s="244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</row>
    <row r="430">
      <c r="A430" s="245"/>
      <c r="B430" s="245"/>
      <c r="C430" s="245"/>
      <c r="D430" s="245"/>
      <c r="E430" s="245"/>
      <c r="F430" s="245"/>
      <c r="G430" s="245"/>
      <c r="H430" s="245"/>
      <c r="I430" s="244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</row>
    <row r="431">
      <c r="A431" s="245"/>
      <c r="B431" s="245"/>
      <c r="C431" s="245"/>
      <c r="D431" s="245"/>
      <c r="E431" s="245"/>
      <c r="F431" s="245"/>
      <c r="G431" s="245"/>
      <c r="H431" s="245"/>
      <c r="I431" s="244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</row>
    <row r="432">
      <c r="A432" s="245"/>
      <c r="B432" s="245"/>
      <c r="C432" s="245"/>
      <c r="D432" s="245"/>
      <c r="E432" s="245"/>
      <c r="F432" s="245"/>
      <c r="G432" s="245"/>
      <c r="H432" s="245"/>
      <c r="I432" s="244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</row>
    <row r="433">
      <c r="A433" s="245"/>
      <c r="B433" s="245"/>
      <c r="C433" s="245"/>
      <c r="D433" s="245"/>
      <c r="E433" s="245"/>
      <c r="F433" s="245"/>
      <c r="G433" s="245"/>
      <c r="H433" s="245"/>
      <c r="I433" s="244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</row>
    <row r="434">
      <c r="A434" s="245"/>
      <c r="B434" s="245"/>
      <c r="C434" s="245"/>
      <c r="D434" s="245"/>
      <c r="E434" s="245"/>
      <c r="F434" s="245"/>
      <c r="G434" s="245"/>
      <c r="H434" s="245"/>
      <c r="I434" s="244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</row>
    <row r="435">
      <c r="A435" s="245"/>
      <c r="B435" s="245"/>
      <c r="C435" s="245"/>
      <c r="D435" s="245"/>
      <c r="E435" s="245"/>
      <c r="F435" s="245"/>
      <c r="G435" s="245"/>
      <c r="H435" s="245"/>
      <c r="I435" s="244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</row>
    <row r="436">
      <c r="A436" s="245"/>
      <c r="B436" s="245"/>
      <c r="C436" s="245"/>
      <c r="D436" s="245"/>
      <c r="E436" s="245"/>
      <c r="F436" s="245"/>
      <c r="G436" s="245"/>
      <c r="H436" s="245"/>
      <c r="I436" s="244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</row>
    <row r="437">
      <c r="A437" s="245"/>
      <c r="B437" s="245"/>
      <c r="C437" s="245"/>
      <c r="D437" s="245"/>
      <c r="E437" s="245"/>
      <c r="F437" s="245"/>
      <c r="G437" s="245"/>
      <c r="H437" s="245"/>
      <c r="I437" s="244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</row>
    <row r="438">
      <c r="A438" s="245"/>
      <c r="B438" s="245"/>
      <c r="C438" s="245"/>
      <c r="D438" s="245"/>
      <c r="E438" s="245"/>
      <c r="F438" s="245"/>
      <c r="G438" s="245"/>
      <c r="H438" s="245"/>
      <c r="I438" s="244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</row>
    <row r="439">
      <c r="A439" s="245"/>
      <c r="B439" s="245"/>
      <c r="C439" s="245"/>
      <c r="D439" s="245"/>
      <c r="E439" s="245"/>
      <c r="F439" s="245"/>
      <c r="G439" s="245"/>
      <c r="H439" s="245"/>
      <c r="I439" s="244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</row>
    <row r="440">
      <c r="A440" s="245"/>
      <c r="B440" s="245"/>
      <c r="C440" s="245"/>
      <c r="D440" s="245"/>
      <c r="E440" s="245"/>
      <c r="F440" s="245"/>
      <c r="G440" s="245"/>
      <c r="H440" s="245"/>
      <c r="I440" s="244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</row>
    <row r="441">
      <c r="A441" s="245"/>
      <c r="B441" s="245"/>
      <c r="C441" s="245"/>
      <c r="D441" s="245"/>
      <c r="E441" s="245"/>
      <c r="F441" s="245"/>
      <c r="G441" s="245"/>
      <c r="H441" s="245"/>
      <c r="I441" s="244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</row>
    <row r="442">
      <c r="A442" s="245"/>
      <c r="B442" s="245"/>
      <c r="C442" s="245"/>
      <c r="D442" s="245"/>
      <c r="E442" s="245"/>
      <c r="F442" s="245"/>
      <c r="G442" s="245"/>
      <c r="H442" s="245"/>
      <c r="I442" s="244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</row>
    <row r="443">
      <c r="A443" s="245"/>
      <c r="B443" s="245"/>
      <c r="C443" s="245"/>
      <c r="D443" s="245"/>
      <c r="E443" s="245"/>
      <c r="F443" s="245"/>
      <c r="G443" s="245"/>
      <c r="H443" s="245"/>
      <c r="I443" s="244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</row>
    <row r="444">
      <c r="A444" s="245"/>
      <c r="B444" s="245"/>
      <c r="C444" s="245"/>
      <c r="D444" s="245"/>
      <c r="E444" s="245"/>
      <c r="F444" s="245"/>
      <c r="G444" s="245"/>
      <c r="H444" s="245"/>
      <c r="I444" s="244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</row>
    <row r="445">
      <c r="A445" s="245"/>
      <c r="B445" s="245"/>
      <c r="C445" s="245"/>
      <c r="D445" s="245"/>
      <c r="E445" s="245"/>
      <c r="F445" s="245"/>
      <c r="G445" s="245"/>
      <c r="H445" s="245"/>
      <c r="I445" s="244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</row>
    <row r="446">
      <c r="A446" s="245"/>
      <c r="B446" s="245"/>
      <c r="C446" s="245"/>
      <c r="D446" s="245"/>
      <c r="E446" s="245"/>
      <c r="F446" s="245"/>
      <c r="G446" s="245"/>
      <c r="H446" s="245"/>
      <c r="I446" s="244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</row>
    <row r="447">
      <c r="A447" s="245"/>
      <c r="B447" s="245"/>
      <c r="C447" s="245"/>
      <c r="D447" s="245"/>
      <c r="E447" s="245"/>
      <c r="F447" s="245"/>
      <c r="G447" s="245"/>
      <c r="H447" s="245"/>
      <c r="I447" s="244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</row>
    <row r="448">
      <c r="A448" s="245"/>
      <c r="B448" s="245"/>
      <c r="C448" s="245"/>
      <c r="D448" s="245"/>
      <c r="E448" s="245"/>
      <c r="F448" s="245"/>
      <c r="G448" s="245"/>
      <c r="H448" s="245"/>
      <c r="I448" s="244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</row>
    <row r="449">
      <c r="A449" s="245"/>
      <c r="B449" s="245"/>
      <c r="C449" s="245"/>
      <c r="D449" s="245"/>
      <c r="E449" s="245"/>
      <c r="F449" s="245"/>
      <c r="G449" s="245"/>
      <c r="H449" s="245"/>
      <c r="I449" s="244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</row>
    <row r="450">
      <c r="A450" s="245"/>
      <c r="B450" s="245"/>
      <c r="C450" s="245"/>
      <c r="D450" s="245"/>
      <c r="E450" s="245"/>
      <c r="F450" s="245"/>
      <c r="G450" s="245"/>
      <c r="H450" s="245"/>
      <c r="I450" s="244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</row>
    <row r="451">
      <c r="A451" s="245"/>
      <c r="B451" s="245"/>
      <c r="C451" s="245"/>
      <c r="D451" s="245"/>
      <c r="E451" s="245"/>
      <c r="F451" s="245"/>
      <c r="G451" s="245"/>
      <c r="H451" s="245"/>
      <c r="I451" s="244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</row>
    <row r="452">
      <c r="A452" s="245"/>
      <c r="B452" s="245"/>
      <c r="C452" s="245"/>
      <c r="D452" s="245"/>
      <c r="E452" s="245"/>
      <c r="F452" s="245"/>
      <c r="G452" s="245"/>
      <c r="H452" s="245"/>
      <c r="I452" s="244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</row>
    <row r="453">
      <c r="A453" s="245"/>
      <c r="B453" s="245"/>
      <c r="C453" s="245"/>
      <c r="D453" s="245"/>
      <c r="E453" s="245"/>
      <c r="F453" s="245"/>
      <c r="G453" s="245"/>
      <c r="H453" s="245"/>
      <c r="I453" s="244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</row>
    <row r="454">
      <c r="A454" s="245"/>
      <c r="B454" s="245"/>
      <c r="C454" s="245"/>
      <c r="D454" s="245"/>
      <c r="E454" s="245"/>
      <c r="F454" s="245"/>
      <c r="G454" s="245"/>
      <c r="H454" s="245"/>
      <c r="I454" s="244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</row>
    <row r="455">
      <c r="A455" s="245"/>
      <c r="B455" s="245"/>
      <c r="C455" s="245"/>
      <c r="D455" s="245"/>
      <c r="E455" s="245"/>
      <c r="F455" s="245"/>
      <c r="G455" s="245"/>
      <c r="H455" s="245"/>
      <c r="I455" s="244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</row>
    <row r="456">
      <c r="A456" s="245"/>
      <c r="B456" s="245"/>
      <c r="C456" s="245"/>
      <c r="D456" s="245"/>
      <c r="E456" s="245"/>
      <c r="F456" s="245"/>
      <c r="G456" s="245"/>
      <c r="H456" s="245"/>
      <c r="I456" s="244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</row>
    <row r="457">
      <c r="A457" s="245"/>
      <c r="B457" s="245"/>
      <c r="C457" s="245"/>
      <c r="D457" s="245"/>
      <c r="E457" s="245"/>
      <c r="F457" s="245"/>
      <c r="G457" s="245"/>
      <c r="H457" s="245"/>
      <c r="I457" s="244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</row>
    <row r="458">
      <c r="A458" s="245"/>
      <c r="B458" s="245"/>
      <c r="C458" s="245"/>
      <c r="D458" s="245"/>
      <c r="E458" s="245"/>
      <c r="F458" s="245"/>
      <c r="G458" s="245"/>
      <c r="H458" s="245"/>
      <c r="I458" s="244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</row>
    <row r="459">
      <c r="A459" s="245"/>
      <c r="B459" s="245"/>
      <c r="C459" s="245"/>
      <c r="D459" s="245"/>
      <c r="E459" s="245"/>
      <c r="F459" s="245"/>
      <c r="G459" s="245"/>
      <c r="H459" s="245"/>
      <c r="I459" s="244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</row>
    <row r="460">
      <c r="A460" s="245"/>
      <c r="B460" s="245"/>
      <c r="C460" s="245"/>
      <c r="D460" s="245"/>
      <c r="E460" s="245"/>
      <c r="F460" s="245"/>
      <c r="G460" s="245"/>
      <c r="H460" s="245"/>
      <c r="I460" s="244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</row>
    <row r="461">
      <c r="A461" s="245"/>
      <c r="B461" s="245"/>
      <c r="C461" s="245"/>
      <c r="D461" s="245"/>
      <c r="E461" s="245"/>
      <c r="F461" s="245"/>
      <c r="G461" s="245"/>
      <c r="H461" s="245"/>
      <c r="I461" s="244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</row>
    <row r="462">
      <c r="A462" s="245"/>
      <c r="B462" s="245"/>
      <c r="C462" s="245"/>
      <c r="D462" s="245"/>
      <c r="E462" s="245"/>
      <c r="F462" s="245"/>
      <c r="G462" s="245"/>
      <c r="H462" s="245"/>
      <c r="I462" s="244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</row>
    <row r="463">
      <c r="A463" s="245"/>
      <c r="B463" s="245"/>
      <c r="C463" s="245"/>
      <c r="D463" s="245"/>
      <c r="E463" s="245"/>
      <c r="F463" s="245"/>
      <c r="G463" s="245"/>
      <c r="H463" s="245"/>
      <c r="I463" s="244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</row>
    <row r="464">
      <c r="A464" s="245"/>
      <c r="B464" s="245"/>
      <c r="C464" s="245"/>
      <c r="D464" s="245"/>
      <c r="E464" s="245"/>
      <c r="F464" s="245"/>
      <c r="G464" s="245"/>
      <c r="H464" s="245"/>
      <c r="I464" s="244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</row>
    <row r="465">
      <c r="A465" s="245"/>
      <c r="B465" s="245"/>
      <c r="C465" s="245"/>
      <c r="D465" s="245"/>
      <c r="E465" s="245"/>
      <c r="F465" s="245"/>
      <c r="G465" s="245"/>
      <c r="H465" s="245"/>
      <c r="I465" s="244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</row>
    <row r="466">
      <c r="A466" s="245"/>
      <c r="B466" s="245"/>
      <c r="C466" s="245"/>
      <c r="D466" s="245"/>
      <c r="E466" s="245"/>
      <c r="F466" s="245"/>
      <c r="G466" s="245"/>
      <c r="H466" s="245"/>
      <c r="I466" s="244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</row>
    <row r="467">
      <c r="A467" s="245"/>
      <c r="B467" s="245"/>
      <c r="C467" s="245"/>
      <c r="D467" s="245"/>
      <c r="E467" s="245"/>
      <c r="F467" s="245"/>
      <c r="G467" s="245"/>
      <c r="H467" s="245"/>
      <c r="I467" s="244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</row>
    <row r="468">
      <c r="A468" s="245"/>
      <c r="B468" s="245"/>
      <c r="C468" s="245"/>
      <c r="D468" s="245"/>
      <c r="E468" s="245"/>
      <c r="F468" s="245"/>
      <c r="G468" s="245"/>
      <c r="H468" s="245"/>
      <c r="I468" s="244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</row>
    <row r="469">
      <c r="A469" s="245"/>
      <c r="B469" s="245"/>
      <c r="C469" s="245"/>
      <c r="D469" s="245"/>
      <c r="E469" s="245"/>
      <c r="F469" s="245"/>
      <c r="G469" s="245"/>
      <c r="H469" s="245"/>
      <c r="I469" s="244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</row>
    <row r="470">
      <c r="A470" s="245"/>
      <c r="B470" s="245"/>
      <c r="C470" s="245"/>
      <c r="D470" s="245"/>
      <c r="E470" s="245"/>
      <c r="F470" s="245"/>
      <c r="G470" s="245"/>
      <c r="H470" s="245"/>
      <c r="I470" s="244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</row>
    <row r="471">
      <c r="A471" s="245"/>
      <c r="B471" s="245"/>
      <c r="C471" s="245"/>
      <c r="D471" s="245"/>
      <c r="E471" s="245"/>
      <c r="F471" s="245"/>
      <c r="G471" s="245"/>
      <c r="H471" s="245"/>
      <c r="I471" s="244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</row>
    <row r="472">
      <c r="A472" s="245"/>
      <c r="B472" s="245"/>
      <c r="C472" s="245"/>
      <c r="D472" s="245"/>
      <c r="E472" s="245"/>
      <c r="F472" s="245"/>
      <c r="G472" s="245"/>
      <c r="H472" s="245"/>
      <c r="I472" s="244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</row>
    <row r="473">
      <c r="A473" s="245"/>
      <c r="B473" s="245"/>
      <c r="C473" s="245"/>
      <c r="D473" s="245"/>
      <c r="E473" s="245"/>
      <c r="F473" s="245"/>
      <c r="G473" s="245"/>
      <c r="H473" s="245"/>
      <c r="I473" s="244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</row>
    <row r="474">
      <c r="A474" s="245"/>
      <c r="B474" s="245"/>
      <c r="C474" s="245"/>
      <c r="D474" s="245"/>
      <c r="E474" s="245"/>
      <c r="F474" s="245"/>
      <c r="G474" s="245"/>
      <c r="H474" s="245"/>
      <c r="I474" s="244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</row>
    <row r="475">
      <c r="A475" s="245"/>
      <c r="B475" s="245"/>
      <c r="C475" s="245"/>
      <c r="D475" s="245"/>
      <c r="E475" s="245"/>
      <c r="F475" s="245"/>
      <c r="G475" s="245"/>
      <c r="H475" s="245"/>
      <c r="I475" s="244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</row>
    <row r="476">
      <c r="A476" s="245"/>
      <c r="B476" s="245"/>
      <c r="C476" s="245"/>
      <c r="D476" s="245"/>
      <c r="E476" s="245"/>
      <c r="F476" s="245"/>
      <c r="G476" s="245"/>
      <c r="H476" s="245"/>
      <c r="I476" s="244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</row>
    <row r="477">
      <c r="A477" s="245"/>
      <c r="B477" s="245"/>
      <c r="C477" s="245"/>
      <c r="D477" s="245"/>
      <c r="E477" s="245"/>
      <c r="F477" s="245"/>
      <c r="G477" s="245"/>
      <c r="H477" s="245"/>
      <c r="I477" s="244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</row>
    <row r="478">
      <c r="A478" s="245"/>
      <c r="B478" s="245"/>
      <c r="C478" s="245"/>
      <c r="D478" s="245"/>
      <c r="E478" s="245"/>
      <c r="F478" s="245"/>
      <c r="G478" s="245"/>
      <c r="H478" s="245"/>
      <c r="I478" s="244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</row>
    <row r="479">
      <c r="A479" s="245"/>
      <c r="B479" s="245"/>
      <c r="C479" s="245"/>
      <c r="D479" s="245"/>
      <c r="E479" s="245"/>
      <c r="F479" s="245"/>
      <c r="G479" s="245"/>
      <c r="H479" s="245"/>
      <c r="I479" s="244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</row>
    <row r="480">
      <c r="A480" s="245"/>
      <c r="B480" s="245"/>
      <c r="C480" s="245"/>
      <c r="D480" s="245"/>
      <c r="E480" s="245"/>
      <c r="F480" s="245"/>
      <c r="G480" s="245"/>
      <c r="H480" s="245"/>
      <c r="I480" s="244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</row>
    <row r="481">
      <c r="A481" s="245"/>
      <c r="B481" s="245"/>
      <c r="C481" s="245"/>
      <c r="D481" s="245"/>
      <c r="E481" s="245"/>
      <c r="F481" s="245"/>
      <c r="G481" s="245"/>
      <c r="H481" s="245"/>
      <c r="I481" s="244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</row>
    <row r="482">
      <c r="A482" s="245"/>
      <c r="B482" s="245"/>
      <c r="C482" s="245"/>
      <c r="D482" s="245"/>
      <c r="E482" s="245"/>
      <c r="F482" s="245"/>
      <c r="G482" s="245"/>
      <c r="H482" s="245"/>
      <c r="I482" s="244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</row>
    <row r="483">
      <c r="A483" s="245"/>
      <c r="B483" s="245"/>
      <c r="C483" s="245"/>
      <c r="D483" s="245"/>
      <c r="E483" s="245"/>
      <c r="F483" s="245"/>
      <c r="G483" s="245"/>
      <c r="H483" s="245"/>
      <c r="I483" s="244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</row>
    <row r="484">
      <c r="A484" s="245"/>
      <c r="B484" s="245"/>
      <c r="C484" s="245"/>
      <c r="D484" s="245"/>
      <c r="E484" s="245"/>
      <c r="F484" s="245"/>
      <c r="G484" s="245"/>
      <c r="H484" s="245"/>
      <c r="I484" s="244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</row>
    <row r="485">
      <c r="A485" s="245"/>
      <c r="B485" s="245"/>
      <c r="C485" s="245"/>
      <c r="D485" s="245"/>
      <c r="E485" s="245"/>
      <c r="F485" s="245"/>
      <c r="G485" s="245"/>
      <c r="H485" s="245"/>
      <c r="I485" s="244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</row>
    <row r="486">
      <c r="A486" s="245"/>
      <c r="B486" s="245"/>
      <c r="C486" s="245"/>
      <c r="D486" s="245"/>
      <c r="E486" s="245"/>
      <c r="F486" s="245"/>
      <c r="G486" s="245"/>
      <c r="H486" s="245"/>
      <c r="I486" s="244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</row>
    <row r="487">
      <c r="A487" s="245"/>
      <c r="B487" s="245"/>
      <c r="C487" s="245"/>
      <c r="D487" s="245"/>
      <c r="E487" s="245"/>
      <c r="F487" s="245"/>
      <c r="G487" s="245"/>
      <c r="H487" s="245"/>
      <c r="I487" s="244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</row>
    <row r="488">
      <c r="A488" s="245"/>
      <c r="B488" s="245"/>
      <c r="C488" s="245"/>
      <c r="D488" s="245"/>
      <c r="E488" s="245"/>
      <c r="F488" s="245"/>
      <c r="G488" s="245"/>
      <c r="H488" s="245"/>
      <c r="I488" s="244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</row>
    <row r="489">
      <c r="A489" s="245"/>
      <c r="B489" s="245"/>
      <c r="C489" s="245"/>
      <c r="D489" s="245"/>
      <c r="E489" s="245"/>
      <c r="F489" s="245"/>
      <c r="G489" s="245"/>
      <c r="H489" s="245"/>
      <c r="I489" s="244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</row>
    <row r="490">
      <c r="A490" s="245"/>
      <c r="B490" s="245"/>
      <c r="C490" s="245"/>
      <c r="D490" s="245"/>
      <c r="E490" s="245"/>
      <c r="F490" s="245"/>
      <c r="G490" s="245"/>
      <c r="H490" s="245"/>
      <c r="I490" s="244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</row>
    <row r="491">
      <c r="A491" s="245"/>
      <c r="B491" s="245"/>
      <c r="C491" s="245"/>
      <c r="D491" s="245"/>
      <c r="E491" s="245"/>
      <c r="F491" s="245"/>
      <c r="G491" s="245"/>
      <c r="H491" s="245"/>
      <c r="I491" s="244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</row>
    <row r="492">
      <c r="A492" s="245"/>
      <c r="B492" s="245"/>
      <c r="C492" s="245"/>
      <c r="D492" s="245"/>
      <c r="E492" s="245"/>
      <c r="F492" s="245"/>
      <c r="G492" s="245"/>
      <c r="H492" s="245"/>
      <c r="I492" s="244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</row>
    <row r="493">
      <c r="A493" s="245"/>
      <c r="B493" s="245"/>
      <c r="C493" s="245"/>
      <c r="D493" s="245"/>
      <c r="E493" s="245"/>
      <c r="F493" s="245"/>
      <c r="G493" s="245"/>
      <c r="H493" s="245"/>
      <c r="I493" s="244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</row>
    <row r="494">
      <c r="A494" s="245"/>
      <c r="B494" s="245"/>
      <c r="C494" s="245"/>
      <c r="D494" s="245"/>
      <c r="E494" s="245"/>
      <c r="F494" s="245"/>
      <c r="G494" s="245"/>
      <c r="H494" s="245"/>
      <c r="I494" s="244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</row>
    <row r="495">
      <c r="A495" s="245"/>
      <c r="B495" s="245"/>
      <c r="C495" s="245"/>
      <c r="D495" s="245"/>
      <c r="E495" s="245"/>
      <c r="F495" s="245"/>
      <c r="G495" s="245"/>
      <c r="H495" s="245"/>
      <c r="I495" s="244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</row>
    <row r="496">
      <c r="A496" s="245"/>
      <c r="B496" s="245"/>
      <c r="C496" s="245"/>
      <c r="D496" s="245"/>
      <c r="E496" s="245"/>
      <c r="F496" s="245"/>
      <c r="G496" s="245"/>
      <c r="H496" s="245"/>
      <c r="I496" s="244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</row>
    <row r="497">
      <c r="A497" s="245"/>
      <c r="B497" s="245"/>
      <c r="C497" s="245"/>
      <c r="D497" s="245"/>
      <c r="E497" s="245"/>
      <c r="F497" s="245"/>
      <c r="G497" s="245"/>
      <c r="H497" s="245"/>
      <c r="I497" s="244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</row>
    <row r="498">
      <c r="A498" s="245"/>
      <c r="B498" s="245"/>
      <c r="C498" s="245"/>
      <c r="D498" s="245"/>
      <c r="E498" s="245"/>
      <c r="F498" s="245"/>
      <c r="G498" s="245"/>
      <c r="H498" s="245"/>
      <c r="I498" s="244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</row>
    <row r="499">
      <c r="A499" s="245"/>
      <c r="B499" s="245"/>
      <c r="C499" s="245"/>
      <c r="D499" s="245"/>
      <c r="E499" s="245"/>
      <c r="F499" s="245"/>
      <c r="G499" s="245"/>
      <c r="H499" s="245"/>
      <c r="I499" s="244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</row>
    <row r="500">
      <c r="A500" s="245"/>
      <c r="B500" s="245"/>
      <c r="C500" s="245"/>
      <c r="D500" s="245"/>
      <c r="E500" s="245"/>
      <c r="F500" s="245"/>
      <c r="G500" s="245"/>
      <c r="H500" s="245"/>
      <c r="I500" s="244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</row>
    <row r="501">
      <c r="A501" s="245"/>
      <c r="B501" s="245"/>
      <c r="C501" s="245"/>
      <c r="D501" s="245"/>
      <c r="E501" s="245"/>
      <c r="F501" s="245"/>
      <c r="G501" s="245"/>
      <c r="H501" s="245"/>
      <c r="I501" s="244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</row>
    <row r="502">
      <c r="A502" s="245"/>
      <c r="B502" s="245"/>
      <c r="C502" s="245"/>
      <c r="D502" s="245"/>
      <c r="E502" s="245"/>
      <c r="F502" s="245"/>
      <c r="G502" s="245"/>
      <c r="H502" s="245"/>
      <c r="I502" s="244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</row>
    <row r="503">
      <c r="A503" s="245"/>
      <c r="B503" s="245"/>
      <c r="C503" s="245"/>
      <c r="D503" s="245"/>
      <c r="E503" s="245"/>
      <c r="F503" s="245"/>
      <c r="G503" s="245"/>
      <c r="H503" s="245"/>
      <c r="I503" s="244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</row>
    <row r="504">
      <c r="A504" s="245"/>
      <c r="B504" s="245"/>
      <c r="C504" s="245"/>
      <c r="D504" s="245"/>
      <c r="E504" s="245"/>
      <c r="F504" s="245"/>
      <c r="G504" s="245"/>
      <c r="H504" s="245"/>
      <c r="I504" s="244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</row>
    <row r="505">
      <c r="A505" s="245"/>
      <c r="B505" s="245"/>
      <c r="C505" s="245"/>
      <c r="D505" s="245"/>
      <c r="E505" s="245"/>
      <c r="F505" s="245"/>
      <c r="G505" s="245"/>
      <c r="H505" s="245"/>
      <c r="I505" s="244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</row>
    <row r="506">
      <c r="A506" s="245"/>
      <c r="B506" s="245"/>
      <c r="C506" s="245"/>
      <c r="D506" s="245"/>
      <c r="E506" s="245"/>
      <c r="F506" s="245"/>
      <c r="G506" s="245"/>
      <c r="H506" s="245"/>
      <c r="I506" s="244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</row>
    <row r="507">
      <c r="A507" s="245"/>
      <c r="B507" s="245"/>
      <c r="C507" s="245"/>
      <c r="D507" s="245"/>
      <c r="E507" s="245"/>
      <c r="F507" s="245"/>
      <c r="G507" s="245"/>
      <c r="H507" s="245"/>
      <c r="I507" s="244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</row>
    <row r="508">
      <c r="A508" s="245"/>
      <c r="B508" s="245"/>
      <c r="C508" s="245"/>
      <c r="D508" s="245"/>
      <c r="E508" s="245"/>
      <c r="F508" s="245"/>
      <c r="G508" s="245"/>
      <c r="H508" s="245"/>
      <c r="I508" s="244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</row>
    <row r="509">
      <c r="A509" s="245"/>
      <c r="B509" s="245"/>
      <c r="C509" s="245"/>
      <c r="D509" s="245"/>
      <c r="E509" s="245"/>
      <c r="F509" s="245"/>
      <c r="G509" s="245"/>
      <c r="H509" s="245"/>
      <c r="I509" s="244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</row>
    <row r="510">
      <c r="A510" s="245"/>
      <c r="B510" s="245"/>
      <c r="C510" s="245"/>
      <c r="D510" s="245"/>
      <c r="E510" s="245"/>
      <c r="F510" s="245"/>
      <c r="G510" s="245"/>
      <c r="H510" s="245"/>
      <c r="I510" s="244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</row>
    <row r="511">
      <c r="A511" s="245"/>
      <c r="B511" s="245"/>
      <c r="C511" s="245"/>
      <c r="D511" s="245"/>
      <c r="E511" s="245"/>
      <c r="F511" s="245"/>
      <c r="G511" s="245"/>
      <c r="H511" s="245"/>
      <c r="I511" s="244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</row>
    <row r="512">
      <c r="A512" s="245"/>
      <c r="B512" s="245"/>
      <c r="C512" s="245"/>
      <c r="D512" s="245"/>
      <c r="E512" s="245"/>
      <c r="F512" s="245"/>
      <c r="G512" s="245"/>
      <c r="H512" s="245"/>
      <c r="I512" s="244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</row>
    <row r="513">
      <c r="A513" s="245"/>
      <c r="B513" s="245"/>
      <c r="C513" s="245"/>
      <c r="D513" s="245"/>
      <c r="E513" s="245"/>
      <c r="F513" s="245"/>
      <c r="G513" s="245"/>
      <c r="H513" s="245"/>
      <c r="I513" s="244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</row>
    <row r="514">
      <c r="A514" s="245"/>
      <c r="B514" s="245"/>
      <c r="C514" s="245"/>
      <c r="D514" s="245"/>
      <c r="E514" s="245"/>
      <c r="F514" s="245"/>
      <c r="G514" s="245"/>
      <c r="H514" s="245"/>
      <c r="I514" s="244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</row>
    <row r="515">
      <c r="A515" s="245"/>
      <c r="B515" s="245"/>
      <c r="C515" s="245"/>
      <c r="D515" s="245"/>
      <c r="E515" s="245"/>
      <c r="F515" s="245"/>
      <c r="G515" s="245"/>
      <c r="H515" s="245"/>
      <c r="I515" s="244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</row>
    <row r="516">
      <c r="A516" s="245"/>
      <c r="B516" s="245"/>
      <c r="C516" s="245"/>
      <c r="D516" s="245"/>
      <c r="E516" s="245"/>
      <c r="F516" s="245"/>
      <c r="G516" s="245"/>
      <c r="H516" s="245"/>
      <c r="I516" s="244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</row>
    <row r="517">
      <c r="A517" s="245"/>
      <c r="B517" s="245"/>
      <c r="C517" s="245"/>
      <c r="D517" s="245"/>
      <c r="E517" s="245"/>
      <c r="F517" s="245"/>
      <c r="G517" s="245"/>
      <c r="H517" s="245"/>
      <c r="I517" s="244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</row>
    <row r="518">
      <c r="A518" s="245"/>
      <c r="B518" s="245"/>
      <c r="C518" s="245"/>
      <c r="D518" s="245"/>
      <c r="E518" s="245"/>
      <c r="F518" s="245"/>
      <c r="G518" s="245"/>
      <c r="H518" s="245"/>
      <c r="I518" s="244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</row>
    <row r="519">
      <c r="A519" s="245"/>
      <c r="B519" s="245"/>
      <c r="C519" s="245"/>
      <c r="D519" s="245"/>
      <c r="E519" s="245"/>
      <c r="F519" s="245"/>
      <c r="G519" s="245"/>
      <c r="H519" s="245"/>
      <c r="I519" s="244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</row>
    <row r="520">
      <c r="A520" s="245"/>
      <c r="B520" s="245"/>
      <c r="C520" s="245"/>
      <c r="D520" s="245"/>
      <c r="E520" s="245"/>
      <c r="F520" s="245"/>
      <c r="G520" s="245"/>
      <c r="H520" s="245"/>
      <c r="I520" s="244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</row>
    <row r="521">
      <c r="A521" s="245"/>
      <c r="B521" s="245"/>
      <c r="C521" s="245"/>
      <c r="D521" s="245"/>
      <c r="E521" s="245"/>
      <c r="F521" s="245"/>
      <c r="G521" s="245"/>
      <c r="H521" s="245"/>
      <c r="I521" s="244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</row>
    <row r="522">
      <c r="A522" s="245"/>
      <c r="B522" s="245"/>
      <c r="C522" s="245"/>
      <c r="D522" s="245"/>
      <c r="E522" s="245"/>
      <c r="F522" s="245"/>
      <c r="G522" s="245"/>
      <c r="H522" s="245"/>
      <c r="I522" s="244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</row>
    <row r="523">
      <c r="A523" s="245"/>
      <c r="B523" s="245"/>
      <c r="C523" s="245"/>
      <c r="D523" s="245"/>
      <c r="E523" s="245"/>
      <c r="F523" s="245"/>
      <c r="G523" s="245"/>
      <c r="H523" s="245"/>
      <c r="I523" s="244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</row>
    <row r="524">
      <c r="A524" s="245"/>
      <c r="B524" s="245"/>
      <c r="C524" s="245"/>
      <c r="D524" s="245"/>
      <c r="E524" s="245"/>
      <c r="F524" s="245"/>
      <c r="G524" s="245"/>
      <c r="H524" s="245"/>
      <c r="I524" s="244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</row>
    <row r="525">
      <c r="A525" s="245"/>
      <c r="B525" s="245"/>
      <c r="C525" s="245"/>
      <c r="D525" s="245"/>
      <c r="E525" s="245"/>
      <c r="F525" s="245"/>
      <c r="G525" s="245"/>
      <c r="H525" s="245"/>
      <c r="I525" s="244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</row>
    <row r="526">
      <c r="A526" s="245"/>
      <c r="B526" s="245"/>
      <c r="C526" s="245"/>
      <c r="D526" s="245"/>
      <c r="E526" s="245"/>
      <c r="F526" s="245"/>
      <c r="G526" s="245"/>
      <c r="H526" s="245"/>
      <c r="I526" s="244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</row>
    <row r="527">
      <c r="A527" s="245"/>
      <c r="B527" s="245"/>
      <c r="C527" s="245"/>
      <c r="D527" s="245"/>
      <c r="E527" s="245"/>
      <c r="F527" s="245"/>
      <c r="G527" s="245"/>
      <c r="H527" s="245"/>
      <c r="I527" s="244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</row>
    <row r="528">
      <c r="A528" s="245"/>
      <c r="B528" s="245"/>
      <c r="C528" s="245"/>
      <c r="D528" s="245"/>
      <c r="E528" s="245"/>
      <c r="F528" s="245"/>
      <c r="G528" s="245"/>
      <c r="H528" s="245"/>
      <c r="I528" s="244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</row>
    <row r="529">
      <c r="A529" s="245"/>
      <c r="B529" s="245"/>
      <c r="C529" s="245"/>
      <c r="D529" s="245"/>
      <c r="E529" s="245"/>
      <c r="F529" s="245"/>
      <c r="G529" s="245"/>
      <c r="H529" s="245"/>
      <c r="I529" s="244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</row>
    <row r="530">
      <c r="A530" s="245"/>
      <c r="B530" s="245"/>
      <c r="C530" s="245"/>
      <c r="D530" s="245"/>
      <c r="E530" s="245"/>
      <c r="F530" s="245"/>
      <c r="G530" s="245"/>
      <c r="H530" s="245"/>
      <c r="I530" s="244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</row>
    <row r="531">
      <c r="A531" s="245"/>
      <c r="B531" s="245"/>
      <c r="C531" s="245"/>
      <c r="D531" s="245"/>
      <c r="E531" s="245"/>
      <c r="F531" s="245"/>
      <c r="G531" s="245"/>
      <c r="H531" s="245"/>
      <c r="I531" s="244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</row>
    <row r="532">
      <c r="A532" s="245"/>
      <c r="B532" s="245"/>
      <c r="C532" s="245"/>
      <c r="D532" s="245"/>
      <c r="E532" s="245"/>
      <c r="F532" s="245"/>
      <c r="G532" s="245"/>
      <c r="H532" s="245"/>
      <c r="I532" s="244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</row>
    <row r="533">
      <c r="A533" s="245"/>
      <c r="B533" s="245"/>
      <c r="C533" s="245"/>
      <c r="D533" s="245"/>
      <c r="E533" s="245"/>
      <c r="F533" s="245"/>
      <c r="G533" s="245"/>
      <c r="H533" s="245"/>
      <c r="I533" s="244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</row>
    <row r="534">
      <c r="A534" s="245"/>
      <c r="B534" s="245"/>
      <c r="C534" s="245"/>
      <c r="D534" s="245"/>
      <c r="E534" s="245"/>
      <c r="F534" s="245"/>
      <c r="G534" s="245"/>
      <c r="H534" s="245"/>
      <c r="I534" s="244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</row>
    <row r="535">
      <c r="A535" s="245"/>
      <c r="B535" s="245"/>
      <c r="C535" s="245"/>
      <c r="D535" s="245"/>
      <c r="E535" s="245"/>
      <c r="F535" s="245"/>
      <c r="G535" s="245"/>
      <c r="H535" s="245"/>
      <c r="I535" s="244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</row>
    <row r="536">
      <c r="A536" s="245"/>
      <c r="B536" s="245"/>
      <c r="C536" s="245"/>
      <c r="D536" s="245"/>
      <c r="E536" s="245"/>
      <c r="F536" s="245"/>
      <c r="G536" s="245"/>
      <c r="H536" s="245"/>
      <c r="I536" s="244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</row>
    <row r="537">
      <c r="A537" s="245"/>
      <c r="B537" s="245"/>
      <c r="C537" s="245"/>
      <c r="D537" s="245"/>
      <c r="E537" s="245"/>
      <c r="F537" s="245"/>
      <c r="G537" s="245"/>
      <c r="H537" s="245"/>
      <c r="I537" s="244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</row>
    <row r="538">
      <c r="A538" s="245"/>
      <c r="B538" s="245"/>
      <c r="C538" s="245"/>
      <c r="D538" s="245"/>
      <c r="E538" s="245"/>
      <c r="F538" s="245"/>
      <c r="G538" s="245"/>
      <c r="H538" s="245"/>
      <c r="I538" s="244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</row>
    <row r="539">
      <c r="A539" s="245"/>
      <c r="B539" s="245"/>
      <c r="C539" s="245"/>
      <c r="D539" s="245"/>
      <c r="E539" s="245"/>
      <c r="F539" s="245"/>
      <c r="G539" s="245"/>
      <c r="H539" s="245"/>
      <c r="I539" s="244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</row>
    <row r="540">
      <c r="A540" s="245"/>
      <c r="B540" s="245"/>
      <c r="C540" s="245"/>
      <c r="D540" s="245"/>
      <c r="E540" s="245"/>
      <c r="F540" s="245"/>
      <c r="G540" s="245"/>
      <c r="H540" s="245"/>
      <c r="I540" s="244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</row>
    <row r="541">
      <c r="A541" s="245"/>
      <c r="B541" s="245"/>
      <c r="C541" s="245"/>
      <c r="D541" s="245"/>
      <c r="E541" s="245"/>
      <c r="F541" s="245"/>
      <c r="G541" s="245"/>
      <c r="H541" s="245"/>
      <c r="I541" s="244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</row>
    <row r="542">
      <c r="A542" s="245"/>
      <c r="B542" s="245"/>
      <c r="C542" s="245"/>
      <c r="D542" s="245"/>
      <c r="E542" s="245"/>
      <c r="F542" s="245"/>
      <c r="G542" s="245"/>
      <c r="H542" s="245"/>
      <c r="I542" s="244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</row>
    <row r="543">
      <c r="A543" s="245"/>
      <c r="B543" s="245"/>
      <c r="C543" s="245"/>
      <c r="D543" s="245"/>
      <c r="E543" s="245"/>
      <c r="F543" s="245"/>
      <c r="G543" s="245"/>
      <c r="H543" s="245"/>
      <c r="I543" s="244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</row>
    <row r="544">
      <c r="A544" s="245"/>
      <c r="B544" s="245"/>
      <c r="C544" s="245"/>
      <c r="D544" s="245"/>
      <c r="E544" s="245"/>
      <c r="F544" s="245"/>
      <c r="G544" s="245"/>
      <c r="H544" s="245"/>
      <c r="I544" s="244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</row>
    <row r="545">
      <c r="A545" s="245"/>
      <c r="B545" s="245"/>
      <c r="C545" s="245"/>
      <c r="D545" s="245"/>
      <c r="E545" s="245"/>
      <c r="F545" s="245"/>
      <c r="G545" s="245"/>
      <c r="H545" s="245"/>
      <c r="I545" s="244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</row>
    <row r="546">
      <c r="A546" s="245"/>
      <c r="B546" s="245"/>
      <c r="C546" s="245"/>
      <c r="D546" s="245"/>
      <c r="E546" s="245"/>
      <c r="F546" s="245"/>
      <c r="G546" s="245"/>
      <c r="H546" s="245"/>
      <c r="I546" s="244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</row>
    <row r="547">
      <c r="A547" s="245"/>
      <c r="B547" s="245"/>
      <c r="C547" s="245"/>
      <c r="D547" s="245"/>
      <c r="E547" s="245"/>
      <c r="F547" s="245"/>
      <c r="G547" s="245"/>
      <c r="H547" s="245"/>
      <c r="I547" s="244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</row>
    <row r="548">
      <c r="A548" s="245"/>
      <c r="B548" s="245"/>
      <c r="C548" s="245"/>
      <c r="D548" s="245"/>
      <c r="E548" s="245"/>
      <c r="F548" s="245"/>
      <c r="G548" s="245"/>
      <c r="H548" s="245"/>
      <c r="I548" s="244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</row>
    <row r="549">
      <c r="A549" s="245"/>
      <c r="B549" s="245"/>
      <c r="C549" s="245"/>
      <c r="D549" s="245"/>
      <c r="E549" s="245"/>
      <c r="F549" s="245"/>
      <c r="G549" s="245"/>
      <c r="H549" s="245"/>
      <c r="I549" s="244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</row>
    <row r="550">
      <c r="A550" s="245"/>
      <c r="B550" s="245"/>
      <c r="C550" s="245"/>
      <c r="D550" s="245"/>
      <c r="E550" s="245"/>
      <c r="F550" s="245"/>
      <c r="G550" s="245"/>
      <c r="H550" s="245"/>
      <c r="I550" s="244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</row>
    <row r="551">
      <c r="A551" s="245"/>
      <c r="B551" s="245"/>
      <c r="C551" s="245"/>
      <c r="D551" s="245"/>
      <c r="E551" s="245"/>
      <c r="F551" s="245"/>
      <c r="G551" s="245"/>
      <c r="H551" s="245"/>
      <c r="I551" s="244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</row>
    <row r="552">
      <c r="A552" s="245"/>
      <c r="B552" s="245"/>
      <c r="C552" s="245"/>
      <c r="D552" s="245"/>
      <c r="E552" s="245"/>
      <c r="F552" s="245"/>
      <c r="G552" s="245"/>
      <c r="H552" s="245"/>
      <c r="I552" s="244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</row>
    <row r="553">
      <c r="A553" s="245"/>
      <c r="B553" s="245"/>
      <c r="C553" s="245"/>
      <c r="D553" s="245"/>
      <c r="E553" s="245"/>
      <c r="F553" s="245"/>
      <c r="G553" s="245"/>
      <c r="H553" s="245"/>
      <c r="I553" s="244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</row>
    <row r="554">
      <c r="A554" s="245"/>
      <c r="B554" s="245"/>
      <c r="C554" s="245"/>
      <c r="D554" s="245"/>
      <c r="E554" s="245"/>
      <c r="F554" s="245"/>
      <c r="G554" s="245"/>
      <c r="H554" s="245"/>
      <c r="I554" s="244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</row>
    <row r="555">
      <c r="A555" s="245"/>
      <c r="B555" s="245"/>
      <c r="C555" s="245"/>
      <c r="D555" s="245"/>
      <c r="E555" s="245"/>
      <c r="F555" s="245"/>
      <c r="G555" s="245"/>
      <c r="H555" s="245"/>
      <c r="I555" s="244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</row>
    <row r="556">
      <c r="A556" s="245"/>
      <c r="B556" s="245"/>
      <c r="C556" s="245"/>
      <c r="D556" s="245"/>
      <c r="E556" s="245"/>
      <c r="F556" s="245"/>
      <c r="G556" s="245"/>
      <c r="H556" s="245"/>
      <c r="I556" s="244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</row>
    <row r="557">
      <c r="A557" s="245"/>
      <c r="B557" s="245"/>
      <c r="C557" s="245"/>
      <c r="D557" s="245"/>
      <c r="E557" s="245"/>
      <c r="F557" s="245"/>
      <c r="G557" s="245"/>
      <c r="H557" s="245"/>
      <c r="I557" s="244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</row>
    <row r="558">
      <c r="A558" s="245"/>
      <c r="B558" s="245"/>
      <c r="C558" s="245"/>
      <c r="D558" s="245"/>
      <c r="E558" s="245"/>
      <c r="F558" s="245"/>
      <c r="G558" s="245"/>
      <c r="H558" s="245"/>
      <c r="I558" s="244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</row>
    <row r="559">
      <c r="A559" s="245"/>
      <c r="B559" s="245"/>
      <c r="C559" s="245"/>
      <c r="D559" s="245"/>
      <c r="E559" s="245"/>
      <c r="F559" s="245"/>
      <c r="G559" s="245"/>
      <c r="H559" s="245"/>
      <c r="I559" s="244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</row>
    <row r="560">
      <c r="A560" s="245"/>
      <c r="B560" s="245"/>
      <c r="C560" s="245"/>
      <c r="D560" s="245"/>
      <c r="E560" s="245"/>
      <c r="F560" s="245"/>
      <c r="G560" s="245"/>
      <c r="H560" s="245"/>
      <c r="I560" s="244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</row>
    <row r="561">
      <c r="A561" s="245"/>
      <c r="B561" s="245"/>
      <c r="C561" s="245"/>
      <c r="D561" s="245"/>
      <c r="E561" s="245"/>
      <c r="F561" s="245"/>
      <c r="G561" s="245"/>
      <c r="H561" s="245"/>
      <c r="I561" s="244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</row>
    <row r="562">
      <c r="A562" s="245"/>
      <c r="B562" s="245"/>
      <c r="C562" s="245"/>
      <c r="D562" s="245"/>
      <c r="E562" s="245"/>
      <c r="F562" s="245"/>
      <c r="G562" s="245"/>
      <c r="H562" s="245"/>
      <c r="I562" s="244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</row>
    <row r="563">
      <c r="A563" s="245"/>
      <c r="B563" s="245"/>
      <c r="C563" s="245"/>
      <c r="D563" s="245"/>
      <c r="E563" s="245"/>
      <c r="F563" s="245"/>
      <c r="G563" s="245"/>
      <c r="H563" s="245"/>
      <c r="I563" s="244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</row>
    <row r="564">
      <c r="A564" s="245"/>
      <c r="B564" s="245"/>
      <c r="C564" s="245"/>
      <c r="D564" s="245"/>
      <c r="E564" s="245"/>
      <c r="F564" s="245"/>
      <c r="G564" s="245"/>
      <c r="H564" s="245"/>
      <c r="I564" s="244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</row>
    <row r="565">
      <c r="A565" s="245"/>
      <c r="B565" s="245"/>
      <c r="C565" s="245"/>
      <c r="D565" s="245"/>
      <c r="E565" s="245"/>
      <c r="F565" s="245"/>
      <c r="G565" s="245"/>
      <c r="H565" s="245"/>
      <c r="I565" s="244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</row>
    <row r="566">
      <c r="A566" s="245"/>
      <c r="B566" s="245"/>
      <c r="C566" s="245"/>
      <c r="D566" s="245"/>
      <c r="E566" s="245"/>
      <c r="F566" s="245"/>
      <c r="G566" s="245"/>
      <c r="H566" s="245"/>
      <c r="I566" s="244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</row>
    <row r="567">
      <c r="A567" s="245"/>
      <c r="B567" s="245"/>
      <c r="C567" s="245"/>
      <c r="D567" s="245"/>
      <c r="E567" s="245"/>
      <c r="F567" s="245"/>
      <c r="G567" s="245"/>
      <c r="H567" s="245"/>
      <c r="I567" s="244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</row>
    <row r="568">
      <c r="A568" s="245"/>
      <c r="B568" s="245"/>
      <c r="C568" s="245"/>
      <c r="D568" s="245"/>
      <c r="E568" s="245"/>
      <c r="F568" s="245"/>
      <c r="G568" s="245"/>
      <c r="H568" s="245"/>
      <c r="I568" s="244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</row>
    <row r="569">
      <c r="A569" s="245"/>
      <c r="B569" s="245"/>
      <c r="C569" s="245"/>
      <c r="D569" s="245"/>
      <c r="E569" s="245"/>
      <c r="F569" s="245"/>
      <c r="G569" s="245"/>
      <c r="H569" s="245"/>
      <c r="I569" s="244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</row>
    <row r="570">
      <c r="A570" s="245"/>
      <c r="B570" s="245"/>
      <c r="C570" s="245"/>
      <c r="D570" s="245"/>
      <c r="E570" s="245"/>
      <c r="F570" s="245"/>
      <c r="G570" s="245"/>
      <c r="H570" s="245"/>
      <c r="I570" s="244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</row>
    <row r="571">
      <c r="A571" s="245"/>
      <c r="B571" s="245"/>
      <c r="C571" s="245"/>
      <c r="D571" s="245"/>
      <c r="E571" s="245"/>
      <c r="F571" s="245"/>
      <c r="G571" s="245"/>
      <c r="H571" s="245"/>
      <c r="I571" s="244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</row>
    <row r="572">
      <c r="A572" s="245"/>
      <c r="B572" s="245"/>
      <c r="C572" s="245"/>
      <c r="D572" s="245"/>
      <c r="E572" s="245"/>
      <c r="F572" s="245"/>
      <c r="G572" s="245"/>
      <c r="H572" s="245"/>
      <c r="I572" s="244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</row>
    <row r="573">
      <c r="A573" s="245"/>
      <c r="B573" s="245"/>
      <c r="C573" s="245"/>
      <c r="D573" s="245"/>
      <c r="E573" s="245"/>
      <c r="F573" s="245"/>
      <c r="G573" s="245"/>
      <c r="H573" s="245"/>
      <c r="I573" s="244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</row>
    <row r="574">
      <c r="A574" s="245"/>
      <c r="B574" s="245"/>
      <c r="C574" s="245"/>
      <c r="D574" s="245"/>
      <c r="E574" s="245"/>
      <c r="F574" s="245"/>
      <c r="G574" s="245"/>
      <c r="H574" s="245"/>
      <c r="I574" s="244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</row>
    <row r="575">
      <c r="A575" s="245"/>
      <c r="B575" s="245"/>
      <c r="C575" s="245"/>
      <c r="D575" s="245"/>
      <c r="E575" s="245"/>
      <c r="F575" s="245"/>
      <c r="G575" s="245"/>
      <c r="H575" s="245"/>
      <c r="I575" s="244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</row>
    <row r="576">
      <c r="A576" s="245"/>
      <c r="B576" s="245"/>
      <c r="C576" s="245"/>
      <c r="D576" s="245"/>
      <c r="E576" s="245"/>
      <c r="F576" s="245"/>
      <c r="G576" s="245"/>
      <c r="H576" s="245"/>
      <c r="I576" s="244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</row>
    <row r="577">
      <c r="A577" s="245"/>
      <c r="B577" s="245"/>
      <c r="C577" s="245"/>
      <c r="D577" s="245"/>
      <c r="E577" s="245"/>
      <c r="F577" s="245"/>
      <c r="G577" s="245"/>
      <c r="H577" s="245"/>
      <c r="I577" s="244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</row>
    <row r="578">
      <c r="A578" s="245"/>
      <c r="B578" s="245"/>
      <c r="C578" s="245"/>
      <c r="D578" s="245"/>
      <c r="E578" s="245"/>
      <c r="F578" s="245"/>
      <c r="G578" s="245"/>
      <c r="H578" s="245"/>
      <c r="I578" s="244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</row>
    <row r="579">
      <c r="A579" s="245"/>
      <c r="B579" s="245"/>
      <c r="C579" s="245"/>
      <c r="D579" s="245"/>
      <c r="E579" s="245"/>
      <c r="F579" s="245"/>
      <c r="G579" s="245"/>
      <c r="H579" s="245"/>
      <c r="I579" s="244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</row>
    <row r="580">
      <c r="A580" s="245"/>
      <c r="B580" s="245"/>
      <c r="C580" s="245"/>
      <c r="D580" s="245"/>
      <c r="E580" s="245"/>
      <c r="F580" s="245"/>
      <c r="G580" s="245"/>
      <c r="H580" s="245"/>
      <c r="I580" s="244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</row>
    <row r="581">
      <c r="A581" s="245"/>
      <c r="B581" s="245"/>
      <c r="C581" s="245"/>
      <c r="D581" s="245"/>
      <c r="E581" s="245"/>
      <c r="F581" s="245"/>
      <c r="G581" s="245"/>
      <c r="H581" s="245"/>
      <c r="I581" s="244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</row>
    <row r="582">
      <c r="A582" s="245"/>
      <c r="B582" s="245"/>
      <c r="C582" s="245"/>
      <c r="D582" s="245"/>
      <c r="E582" s="245"/>
      <c r="F582" s="245"/>
      <c r="G582" s="245"/>
      <c r="H582" s="245"/>
      <c r="I582" s="244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</row>
    <row r="583">
      <c r="A583" s="245"/>
      <c r="B583" s="245"/>
      <c r="C583" s="245"/>
      <c r="D583" s="245"/>
      <c r="E583" s="245"/>
      <c r="F583" s="245"/>
      <c r="G583" s="245"/>
      <c r="H583" s="245"/>
      <c r="I583" s="244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</row>
    <row r="584">
      <c r="A584" s="245"/>
      <c r="B584" s="245"/>
      <c r="C584" s="245"/>
      <c r="D584" s="245"/>
      <c r="E584" s="245"/>
      <c r="F584" s="245"/>
      <c r="G584" s="245"/>
      <c r="H584" s="245"/>
      <c r="I584" s="244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</row>
    <row r="585">
      <c r="A585" s="245"/>
      <c r="B585" s="245"/>
      <c r="C585" s="245"/>
      <c r="D585" s="245"/>
      <c r="E585" s="245"/>
      <c r="F585" s="245"/>
      <c r="G585" s="245"/>
      <c r="H585" s="245"/>
      <c r="I585" s="244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</row>
    <row r="586">
      <c r="A586" s="245"/>
      <c r="B586" s="245"/>
      <c r="C586" s="245"/>
      <c r="D586" s="245"/>
      <c r="E586" s="245"/>
      <c r="F586" s="245"/>
      <c r="G586" s="245"/>
      <c r="H586" s="245"/>
      <c r="I586" s="244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</row>
    <row r="587">
      <c r="A587" s="245"/>
      <c r="B587" s="245"/>
      <c r="C587" s="245"/>
      <c r="D587" s="245"/>
      <c r="E587" s="245"/>
      <c r="F587" s="245"/>
      <c r="G587" s="245"/>
      <c r="H587" s="245"/>
      <c r="I587" s="244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</row>
    <row r="588">
      <c r="A588" s="245"/>
      <c r="B588" s="245"/>
      <c r="C588" s="245"/>
      <c r="D588" s="245"/>
      <c r="E588" s="245"/>
      <c r="F588" s="245"/>
      <c r="G588" s="245"/>
      <c r="H588" s="245"/>
      <c r="I588" s="244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</row>
    <row r="589">
      <c r="A589" s="245"/>
      <c r="B589" s="245"/>
      <c r="C589" s="245"/>
      <c r="D589" s="245"/>
      <c r="E589" s="245"/>
      <c r="F589" s="245"/>
      <c r="G589" s="245"/>
      <c r="H589" s="245"/>
      <c r="I589" s="244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</row>
    <row r="590">
      <c r="A590" s="245"/>
      <c r="B590" s="245"/>
      <c r="C590" s="245"/>
      <c r="D590" s="245"/>
      <c r="E590" s="245"/>
      <c r="F590" s="245"/>
      <c r="G590" s="245"/>
      <c r="H590" s="245"/>
      <c r="I590" s="244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</row>
    <row r="591">
      <c r="A591" s="245"/>
      <c r="B591" s="245"/>
      <c r="C591" s="245"/>
      <c r="D591" s="245"/>
      <c r="E591" s="245"/>
      <c r="F591" s="245"/>
      <c r="G591" s="245"/>
      <c r="H591" s="245"/>
      <c r="I591" s="244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</row>
    <row r="592">
      <c r="A592" s="245"/>
      <c r="B592" s="245"/>
      <c r="C592" s="245"/>
      <c r="D592" s="245"/>
      <c r="E592" s="245"/>
      <c r="F592" s="245"/>
      <c r="G592" s="245"/>
      <c r="H592" s="245"/>
      <c r="I592" s="244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</row>
    <row r="593">
      <c r="A593" s="245"/>
      <c r="B593" s="245"/>
      <c r="C593" s="245"/>
      <c r="D593" s="245"/>
      <c r="E593" s="245"/>
      <c r="F593" s="245"/>
      <c r="G593" s="245"/>
      <c r="H593" s="245"/>
      <c r="I593" s="244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</row>
    <row r="594">
      <c r="A594" s="245"/>
      <c r="B594" s="245"/>
      <c r="C594" s="245"/>
      <c r="D594" s="245"/>
      <c r="E594" s="245"/>
      <c r="F594" s="245"/>
      <c r="G594" s="245"/>
      <c r="H594" s="245"/>
      <c r="I594" s="244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</row>
    <row r="595">
      <c r="A595" s="245"/>
      <c r="B595" s="245"/>
      <c r="C595" s="245"/>
      <c r="D595" s="245"/>
      <c r="E595" s="245"/>
      <c r="F595" s="245"/>
      <c r="G595" s="245"/>
      <c r="H595" s="245"/>
      <c r="I595" s="244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</row>
    <row r="596">
      <c r="A596" s="245"/>
      <c r="B596" s="245"/>
      <c r="C596" s="245"/>
      <c r="D596" s="245"/>
      <c r="E596" s="245"/>
      <c r="F596" s="245"/>
      <c r="G596" s="245"/>
      <c r="H596" s="245"/>
      <c r="I596" s="244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</row>
    <row r="597">
      <c r="A597" s="245"/>
      <c r="B597" s="245"/>
      <c r="C597" s="245"/>
      <c r="D597" s="245"/>
      <c r="E597" s="245"/>
      <c r="F597" s="245"/>
      <c r="G597" s="245"/>
      <c r="H597" s="245"/>
      <c r="I597" s="244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</row>
    <row r="598">
      <c r="A598" s="245"/>
      <c r="B598" s="245"/>
      <c r="C598" s="245"/>
      <c r="D598" s="245"/>
      <c r="E598" s="245"/>
      <c r="F598" s="245"/>
      <c r="G598" s="245"/>
      <c r="H598" s="245"/>
      <c r="I598" s="244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</row>
    <row r="599">
      <c r="A599" s="245"/>
      <c r="B599" s="245"/>
      <c r="C599" s="245"/>
      <c r="D599" s="245"/>
      <c r="E599" s="245"/>
      <c r="F599" s="245"/>
      <c r="G599" s="245"/>
      <c r="H599" s="245"/>
      <c r="I599" s="244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</row>
    <row r="600">
      <c r="A600" s="245"/>
      <c r="B600" s="245"/>
      <c r="C600" s="245"/>
      <c r="D600" s="245"/>
      <c r="E600" s="245"/>
      <c r="F600" s="245"/>
      <c r="G600" s="245"/>
      <c r="H600" s="245"/>
      <c r="I600" s="244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</row>
    <row r="601">
      <c r="A601" s="245"/>
      <c r="B601" s="245"/>
      <c r="C601" s="245"/>
      <c r="D601" s="245"/>
      <c r="E601" s="245"/>
      <c r="F601" s="245"/>
      <c r="G601" s="245"/>
      <c r="H601" s="245"/>
      <c r="I601" s="244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</row>
    <row r="602">
      <c r="A602" s="245"/>
      <c r="B602" s="245"/>
      <c r="C602" s="245"/>
      <c r="D602" s="245"/>
      <c r="E602" s="245"/>
      <c r="F602" s="245"/>
      <c r="G602" s="245"/>
      <c r="H602" s="245"/>
      <c r="I602" s="244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</row>
    <row r="603">
      <c r="A603" s="245"/>
      <c r="B603" s="245"/>
      <c r="C603" s="245"/>
      <c r="D603" s="245"/>
      <c r="E603" s="245"/>
      <c r="F603" s="245"/>
      <c r="G603" s="245"/>
      <c r="H603" s="245"/>
      <c r="I603" s="244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</row>
    <row r="604">
      <c r="A604" s="245"/>
      <c r="B604" s="245"/>
      <c r="C604" s="245"/>
      <c r="D604" s="245"/>
      <c r="E604" s="245"/>
      <c r="F604" s="245"/>
      <c r="G604" s="245"/>
      <c r="H604" s="245"/>
      <c r="I604" s="244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</row>
    <row r="605">
      <c r="A605" s="245"/>
      <c r="B605" s="245"/>
      <c r="C605" s="245"/>
      <c r="D605" s="245"/>
      <c r="E605" s="245"/>
      <c r="F605" s="245"/>
      <c r="G605" s="245"/>
      <c r="H605" s="245"/>
      <c r="I605" s="244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</row>
    <row r="606">
      <c r="A606" s="245"/>
      <c r="B606" s="245"/>
      <c r="C606" s="245"/>
      <c r="D606" s="245"/>
      <c r="E606" s="245"/>
      <c r="F606" s="245"/>
      <c r="G606" s="245"/>
      <c r="H606" s="245"/>
      <c r="I606" s="244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</row>
    <row r="607">
      <c r="A607" s="245"/>
      <c r="B607" s="245"/>
      <c r="C607" s="245"/>
      <c r="D607" s="245"/>
      <c r="E607" s="245"/>
      <c r="F607" s="245"/>
      <c r="G607" s="245"/>
      <c r="H607" s="245"/>
      <c r="I607" s="244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</row>
    <row r="608">
      <c r="A608" s="245"/>
      <c r="B608" s="245"/>
      <c r="C608" s="245"/>
      <c r="D608" s="245"/>
      <c r="E608" s="245"/>
      <c r="F608" s="245"/>
      <c r="G608" s="245"/>
      <c r="H608" s="245"/>
      <c r="I608" s="244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</row>
    <row r="609">
      <c r="A609" s="245"/>
      <c r="B609" s="245"/>
      <c r="C609" s="245"/>
      <c r="D609" s="245"/>
      <c r="E609" s="245"/>
      <c r="F609" s="245"/>
      <c r="G609" s="245"/>
      <c r="H609" s="245"/>
      <c r="I609" s="244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</row>
    <row r="610">
      <c r="A610" s="245"/>
      <c r="B610" s="245"/>
      <c r="C610" s="245"/>
      <c r="D610" s="245"/>
      <c r="E610" s="245"/>
      <c r="F610" s="245"/>
      <c r="G610" s="245"/>
      <c r="H610" s="245"/>
      <c r="I610" s="244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</row>
    <row r="611">
      <c r="A611" s="245"/>
      <c r="B611" s="245"/>
      <c r="C611" s="245"/>
      <c r="D611" s="245"/>
      <c r="E611" s="245"/>
      <c r="F611" s="245"/>
      <c r="G611" s="245"/>
      <c r="H611" s="245"/>
      <c r="I611" s="244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</row>
    <row r="612">
      <c r="A612" s="245"/>
      <c r="B612" s="245"/>
      <c r="C612" s="245"/>
      <c r="D612" s="245"/>
      <c r="E612" s="245"/>
      <c r="F612" s="245"/>
      <c r="G612" s="245"/>
      <c r="H612" s="245"/>
      <c r="I612" s="244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</row>
    <row r="613">
      <c r="A613" s="245"/>
      <c r="B613" s="245"/>
      <c r="C613" s="245"/>
      <c r="D613" s="245"/>
      <c r="E613" s="245"/>
      <c r="F613" s="245"/>
      <c r="G613" s="245"/>
      <c r="H613" s="245"/>
      <c r="I613" s="244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</row>
    <row r="614">
      <c r="A614" s="245"/>
      <c r="B614" s="245"/>
      <c r="C614" s="245"/>
      <c r="D614" s="245"/>
      <c r="E614" s="245"/>
      <c r="F614" s="245"/>
      <c r="G614" s="245"/>
      <c r="H614" s="245"/>
      <c r="I614" s="244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</row>
    <row r="615">
      <c r="A615" s="245"/>
      <c r="B615" s="245"/>
      <c r="C615" s="245"/>
      <c r="D615" s="245"/>
      <c r="E615" s="245"/>
      <c r="F615" s="245"/>
      <c r="G615" s="245"/>
      <c r="H615" s="245"/>
      <c r="I615" s="244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</row>
    <row r="616">
      <c r="A616" s="245"/>
      <c r="B616" s="245"/>
      <c r="C616" s="245"/>
      <c r="D616" s="245"/>
      <c r="E616" s="245"/>
      <c r="F616" s="245"/>
      <c r="G616" s="245"/>
      <c r="H616" s="245"/>
      <c r="I616" s="244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</row>
    <row r="617">
      <c r="A617" s="245"/>
      <c r="B617" s="245"/>
      <c r="C617" s="245"/>
      <c r="D617" s="245"/>
      <c r="E617" s="245"/>
      <c r="F617" s="245"/>
      <c r="G617" s="245"/>
      <c r="H617" s="245"/>
      <c r="I617" s="244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</row>
    <row r="618">
      <c r="A618" s="245"/>
      <c r="B618" s="245"/>
      <c r="C618" s="245"/>
      <c r="D618" s="245"/>
      <c r="E618" s="245"/>
      <c r="F618" s="245"/>
      <c r="G618" s="245"/>
      <c r="H618" s="245"/>
      <c r="I618" s="244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</row>
    <row r="619">
      <c r="A619" s="245"/>
      <c r="B619" s="245"/>
      <c r="C619" s="245"/>
      <c r="D619" s="245"/>
      <c r="E619" s="245"/>
      <c r="F619" s="245"/>
      <c r="G619" s="245"/>
      <c r="H619" s="245"/>
      <c r="I619" s="244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</row>
    <row r="620">
      <c r="A620" s="245"/>
      <c r="B620" s="245"/>
      <c r="C620" s="245"/>
      <c r="D620" s="245"/>
      <c r="E620" s="245"/>
      <c r="F620" s="245"/>
      <c r="G620" s="245"/>
      <c r="H620" s="245"/>
      <c r="I620" s="244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</row>
    <row r="621">
      <c r="A621" s="245"/>
      <c r="B621" s="245"/>
      <c r="C621" s="245"/>
      <c r="D621" s="245"/>
      <c r="E621" s="245"/>
      <c r="F621" s="245"/>
      <c r="G621" s="245"/>
      <c r="H621" s="245"/>
      <c r="I621" s="244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</row>
    <row r="622">
      <c r="A622" s="245"/>
      <c r="B622" s="245"/>
      <c r="C622" s="245"/>
      <c r="D622" s="245"/>
      <c r="E622" s="245"/>
      <c r="F622" s="245"/>
      <c r="G622" s="245"/>
      <c r="H622" s="245"/>
      <c r="I622" s="244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</row>
    <row r="623">
      <c r="A623" s="245"/>
      <c r="B623" s="245"/>
      <c r="C623" s="245"/>
      <c r="D623" s="245"/>
      <c r="E623" s="245"/>
      <c r="F623" s="245"/>
      <c r="G623" s="245"/>
      <c r="H623" s="245"/>
      <c r="I623" s="244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</row>
    <row r="624">
      <c r="A624" s="245"/>
      <c r="B624" s="245"/>
      <c r="C624" s="245"/>
      <c r="D624" s="245"/>
      <c r="E624" s="245"/>
      <c r="F624" s="245"/>
      <c r="G624" s="245"/>
      <c r="H624" s="245"/>
      <c r="I624" s="244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</row>
    <row r="625">
      <c r="A625" s="245"/>
      <c r="B625" s="245"/>
      <c r="C625" s="245"/>
      <c r="D625" s="245"/>
      <c r="E625" s="245"/>
      <c r="F625" s="245"/>
      <c r="G625" s="245"/>
      <c r="H625" s="245"/>
      <c r="I625" s="244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</row>
    <row r="626">
      <c r="A626" s="245"/>
      <c r="B626" s="245"/>
      <c r="C626" s="245"/>
      <c r="D626" s="245"/>
      <c r="E626" s="245"/>
      <c r="F626" s="245"/>
      <c r="G626" s="245"/>
      <c r="H626" s="245"/>
      <c r="I626" s="244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</row>
    <row r="627">
      <c r="A627" s="245"/>
      <c r="B627" s="245"/>
      <c r="C627" s="245"/>
      <c r="D627" s="245"/>
      <c r="E627" s="245"/>
      <c r="F627" s="245"/>
      <c r="G627" s="245"/>
      <c r="H627" s="245"/>
      <c r="I627" s="244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</row>
    <row r="628">
      <c r="A628" s="245"/>
      <c r="B628" s="245"/>
      <c r="C628" s="245"/>
      <c r="D628" s="245"/>
      <c r="E628" s="245"/>
      <c r="F628" s="245"/>
      <c r="G628" s="245"/>
      <c r="H628" s="245"/>
      <c r="I628" s="244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</row>
    <row r="629">
      <c r="A629" s="245"/>
      <c r="B629" s="245"/>
      <c r="C629" s="245"/>
      <c r="D629" s="245"/>
      <c r="E629" s="245"/>
      <c r="F629" s="245"/>
      <c r="G629" s="245"/>
      <c r="H629" s="245"/>
      <c r="I629" s="244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</row>
    <row r="630">
      <c r="A630" s="245"/>
      <c r="B630" s="245"/>
      <c r="C630" s="245"/>
      <c r="D630" s="245"/>
      <c r="E630" s="245"/>
      <c r="F630" s="245"/>
      <c r="G630" s="245"/>
      <c r="H630" s="245"/>
      <c r="I630" s="244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</row>
    <row r="631">
      <c r="A631" s="245"/>
      <c r="B631" s="245"/>
      <c r="C631" s="245"/>
      <c r="D631" s="245"/>
      <c r="E631" s="245"/>
      <c r="F631" s="245"/>
      <c r="G631" s="245"/>
      <c r="H631" s="245"/>
      <c r="I631" s="244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</row>
    <row r="632">
      <c r="A632" s="245"/>
      <c r="B632" s="245"/>
      <c r="C632" s="245"/>
      <c r="D632" s="245"/>
      <c r="E632" s="245"/>
      <c r="F632" s="245"/>
      <c r="G632" s="245"/>
      <c r="H632" s="245"/>
      <c r="I632" s="244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</row>
    <row r="633">
      <c r="A633" s="245"/>
      <c r="B633" s="245"/>
      <c r="C633" s="245"/>
      <c r="D633" s="245"/>
      <c r="E633" s="245"/>
      <c r="F633" s="245"/>
      <c r="G633" s="245"/>
      <c r="H633" s="245"/>
      <c r="I633" s="244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</row>
    <row r="634">
      <c r="A634" s="245"/>
      <c r="B634" s="245"/>
      <c r="C634" s="245"/>
      <c r="D634" s="245"/>
      <c r="E634" s="245"/>
      <c r="F634" s="245"/>
      <c r="G634" s="245"/>
      <c r="H634" s="245"/>
      <c r="I634" s="244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</row>
    <row r="635">
      <c r="A635" s="245"/>
      <c r="B635" s="245"/>
      <c r="C635" s="245"/>
      <c r="D635" s="245"/>
      <c r="E635" s="245"/>
      <c r="F635" s="245"/>
      <c r="G635" s="245"/>
      <c r="H635" s="245"/>
      <c r="I635" s="244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</row>
    <row r="636">
      <c r="A636" s="245"/>
      <c r="B636" s="245"/>
      <c r="C636" s="245"/>
      <c r="D636" s="245"/>
      <c r="E636" s="245"/>
      <c r="F636" s="245"/>
      <c r="G636" s="245"/>
      <c r="H636" s="245"/>
      <c r="I636" s="244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</row>
    <row r="637">
      <c r="A637" s="245"/>
      <c r="B637" s="245"/>
      <c r="C637" s="245"/>
      <c r="D637" s="245"/>
      <c r="E637" s="245"/>
      <c r="F637" s="245"/>
      <c r="G637" s="245"/>
      <c r="H637" s="245"/>
      <c r="I637" s="244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</row>
    <row r="638">
      <c r="A638" s="245"/>
      <c r="B638" s="245"/>
      <c r="C638" s="245"/>
      <c r="D638" s="245"/>
      <c r="E638" s="245"/>
      <c r="F638" s="245"/>
      <c r="G638" s="245"/>
      <c r="H638" s="245"/>
      <c r="I638" s="244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</row>
    <row r="639">
      <c r="A639" s="245"/>
      <c r="B639" s="245"/>
      <c r="C639" s="245"/>
      <c r="D639" s="245"/>
      <c r="E639" s="245"/>
      <c r="F639" s="245"/>
      <c r="G639" s="245"/>
      <c r="H639" s="245"/>
      <c r="I639" s="244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</row>
    <row r="640">
      <c r="A640" s="245"/>
      <c r="B640" s="245"/>
      <c r="C640" s="245"/>
      <c r="D640" s="245"/>
      <c r="E640" s="245"/>
      <c r="F640" s="245"/>
      <c r="G640" s="245"/>
      <c r="H640" s="245"/>
      <c r="I640" s="244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</row>
    <row r="641">
      <c r="A641" s="245"/>
      <c r="B641" s="245"/>
      <c r="C641" s="245"/>
      <c r="D641" s="245"/>
      <c r="E641" s="245"/>
      <c r="F641" s="245"/>
      <c r="G641" s="245"/>
      <c r="H641" s="245"/>
      <c r="I641" s="244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</row>
    <row r="642">
      <c r="A642" s="245"/>
      <c r="B642" s="245"/>
      <c r="C642" s="245"/>
      <c r="D642" s="245"/>
      <c r="E642" s="245"/>
      <c r="F642" s="245"/>
      <c r="G642" s="245"/>
      <c r="H642" s="245"/>
      <c r="I642" s="244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</row>
    <row r="643">
      <c r="A643" s="245"/>
      <c r="B643" s="245"/>
      <c r="C643" s="245"/>
      <c r="D643" s="245"/>
      <c r="E643" s="245"/>
      <c r="F643" s="245"/>
      <c r="G643" s="245"/>
      <c r="H643" s="245"/>
      <c r="I643" s="244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</row>
    <row r="644">
      <c r="A644" s="245"/>
      <c r="B644" s="245"/>
      <c r="C644" s="245"/>
      <c r="D644" s="245"/>
      <c r="E644" s="245"/>
      <c r="F644" s="245"/>
      <c r="G644" s="245"/>
      <c r="H644" s="245"/>
      <c r="I644" s="244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</row>
    <row r="645">
      <c r="A645" s="245"/>
      <c r="B645" s="245"/>
      <c r="C645" s="245"/>
      <c r="D645" s="245"/>
      <c r="E645" s="245"/>
      <c r="F645" s="245"/>
      <c r="G645" s="245"/>
      <c r="H645" s="245"/>
      <c r="I645" s="244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</row>
    <row r="646">
      <c r="A646" s="245"/>
      <c r="B646" s="245"/>
      <c r="C646" s="245"/>
      <c r="D646" s="245"/>
      <c r="E646" s="245"/>
      <c r="F646" s="245"/>
      <c r="G646" s="245"/>
      <c r="H646" s="245"/>
      <c r="I646" s="244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</row>
    <row r="647">
      <c r="A647" s="245"/>
      <c r="B647" s="245"/>
      <c r="C647" s="245"/>
      <c r="D647" s="245"/>
      <c r="E647" s="245"/>
      <c r="F647" s="245"/>
      <c r="G647" s="245"/>
      <c r="H647" s="245"/>
      <c r="I647" s="244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</row>
    <row r="648">
      <c r="A648" s="245"/>
      <c r="B648" s="245"/>
      <c r="C648" s="245"/>
      <c r="D648" s="245"/>
      <c r="E648" s="245"/>
      <c r="F648" s="245"/>
      <c r="G648" s="245"/>
      <c r="H648" s="245"/>
      <c r="I648" s="244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</row>
    <row r="649">
      <c r="A649" s="245"/>
      <c r="B649" s="245"/>
      <c r="C649" s="245"/>
      <c r="D649" s="245"/>
      <c r="E649" s="245"/>
      <c r="F649" s="245"/>
      <c r="G649" s="245"/>
      <c r="H649" s="245"/>
      <c r="I649" s="244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</row>
    <row r="650">
      <c r="A650" s="245"/>
      <c r="B650" s="245"/>
      <c r="C650" s="245"/>
      <c r="D650" s="245"/>
      <c r="E650" s="245"/>
      <c r="F650" s="245"/>
      <c r="G650" s="245"/>
      <c r="H650" s="245"/>
      <c r="I650" s="244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</row>
    <row r="651">
      <c r="A651" s="245"/>
      <c r="B651" s="245"/>
      <c r="C651" s="245"/>
      <c r="D651" s="245"/>
      <c r="E651" s="245"/>
      <c r="F651" s="245"/>
      <c r="G651" s="245"/>
      <c r="H651" s="245"/>
      <c r="I651" s="244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</row>
    <row r="652">
      <c r="A652" s="245"/>
      <c r="B652" s="245"/>
      <c r="C652" s="245"/>
      <c r="D652" s="245"/>
      <c r="E652" s="245"/>
      <c r="F652" s="245"/>
      <c r="G652" s="245"/>
      <c r="H652" s="245"/>
      <c r="I652" s="244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</row>
    <row r="653">
      <c r="A653" s="245"/>
      <c r="B653" s="245"/>
      <c r="C653" s="245"/>
      <c r="D653" s="245"/>
      <c r="E653" s="245"/>
      <c r="F653" s="245"/>
      <c r="G653" s="245"/>
      <c r="H653" s="245"/>
      <c r="I653" s="244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</row>
    <row r="654">
      <c r="A654" s="245"/>
      <c r="B654" s="245"/>
      <c r="C654" s="245"/>
      <c r="D654" s="245"/>
      <c r="E654" s="245"/>
      <c r="F654" s="245"/>
      <c r="G654" s="245"/>
      <c r="H654" s="245"/>
      <c r="I654" s="244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</row>
    <row r="655">
      <c r="A655" s="245"/>
      <c r="B655" s="245"/>
      <c r="C655" s="245"/>
      <c r="D655" s="245"/>
      <c r="E655" s="245"/>
      <c r="F655" s="245"/>
      <c r="G655" s="245"/>
      <c r="H655" s="245"/>
      <c r="I655" s="244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</row>
    <row r="656">
      <c r="A656" s="245"/>
      <c r="B656" s="245"/>
      <c r="C656" s="245"/>
      <c r="D656" s="245"/>
      <c r="E656" s="245"/>
      <c r="F656" s="245"/>
      <c r="G656" s="245"/>
      <c r="H656" s="245"/>
      <c r="I656" s="244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</row>
    <row r="657">
      <c r="A657" s="245"/>
      <c r="B657" s="245"/>
      <c r="C657" s="245"/>
      <c r="D657" s="245"/>
      <c r="E657" s="245"/>
      <c r="F657" s="245"/>
      <c r="G657" s="245"/>
      <c r="H657" s="245"/>
      <c r="I657" s="244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</row>
    <row r="658">
      <c r="A658" s="245"/>
      <c r="B658" s="245"/>
      <c r="C658" s="245"/>
      <c r="D658" s="245"/>
      <c r="E658" s="245"/>
      <c r="F658" s="245"/>
      <c r="G658" s="245"/>
      <c r="H658" s="245"/>
      <c r="I658" s="244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</row>
    <row r="659">
      <c r="A659" s="245"/>
      <c r="B659" s="245"/>
      <c r="C659" s="245"/>
      <c r="D659" s="245"/>
      <c r="E659" s="245"/>
      <c r="F659" s="245"/>
      <c r="G659" s="245"/>
      <c r="H659" s="245"/>
      <c r="I659" s="244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</row>
    <row r="660">
      <c r="A660" s="245"/>
      <c r="B660" s="245"/>
      <c r="C660" s="245"/>
      <c r="D660" s="245"/>
      <c r="E660" s="245"/>
      <c r="F660" s="245"/>
      <c r="G660" s="245"/>
      <c r="H660" s="245"/>
      <c r="I660" s="244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</row>
    <row r="661">
      <c r="A661" s="245"/>
      <c r="B661" s="245"/>
      <c r="C661" s="245"/>
      <c r="D661" s="245"/>
      <c r="E661" s="245"/>
      <c r="F661" s="245"/>
      <c r="G661" s="245"/>
      <c r="H661" s="245"/>
      <c r="I661" s="244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</row>
    <row r="662">
      <c r="A662" s="245"/>
      <c r="B662" s="245"/>
      <c r="C662" s="245"/>
      <c r="D662" s="245"/>
      <c r="E662" s="245"/>
      <c r="F662" s="245"/>
      <c r="G662" s="245"/>
      <c r="H662" s="245"/>
      <c r="I662" s="244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</row>
    <row r="663">
      <c r="A663" s="245"/>
      <c r="B663" s="245"/>
      <c r="C663" s="245"/>
      <c r="D663" s="245"/>
      <c r="E663" s="245"/>
      <c r="F663" s="245"/>
      <c r="G663" s="245"/>
      <c r="H663" s="245"/>
      <c r="I663" s="244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</row>
    <row r="664">
      <c r="A664" s="245"/>
      <c r="B664" s="245"/>
      <c r="C664" s="245"/>
      <c r="D664" s="245"/>
      <c r="E664" s="245"/>
      <c r="F664" s="245"/>
      <c r="G664" s="245"/>
      <c r="H664" s="245"/>
      <c r="I664" s="244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</row>
    <row r="665">
      <c r="A665" s="245"/>
      <c r="B665" s="245"/>
      <c r="C665" s="245"/>
      <c r="D665" s="245"/>
      <c r="E665" s="245"/>
      <c r="F665" s="245"/>
      <c r="G665" s="245"/>
      <c r="H665" s="245"/>
      <c r="I665" s="244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</row>
    <row r="666">
      <c r="A666" s="245"/>
      <c r="B666" s="245"/>
      <c r="C666" s="245"/>
      <c r="D666" s="245"/>
      <c r="E666" s="245"/>
      <c r="F666" s="245"/>
      <c r="G666" s="245"/>
      <c r="H666" s="245"/>
      <c r="I666" s="244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</row>
    <row r="667">
      <c r="A667" s="245"/>
      <c r="B667" s="245"/>
      <c r="C667" s="245"/>
      <c r="D667" s="245"/>
      <c r="E667" s="245"/>
      <c r="F667" s="245"/>
      <c r="G667" s="245"/>
      <c r="H667" s="245"/>
      <c r="I667" s="244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</row>
    <row r="668">
      <c r="A668" s="245"/>
      <c r="B668" s="245"/>
      <c r="C668" s="245"/>
      <c r="D668" s="245"/>
      <c r="E668" s="245"/>
      <c r="F668" s="245"/>
      <c r="G668" s="245"/>
      <c r="H668" s="245"/>
      <c r="I668" s="244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</row>
    <row r="669">
      <c r="A669" s="245"/>
      <c r="B669" s="245"/>
      <c r="C669" s="245"/>
      <c r="D669" s="245"/>
      <c r="E669" s="245"/>
      <c r="F669" s="245"/>
      <c r="G669" s="245"/>
      <c r="H669" s="245"/>
      <c r="I669" s="244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</row>
    <row r="670">
      <c r="A670" s="245"/>
      <c r="B670" s="245"/>
      <c r="C670" s="245"/>
      <c r="D670" s="245"/>
      <c r="E670" s="245"/>
      <c r="F670" s="245"/>
      <c r="G670" s="245"/>
      <c r="H670" s="245"/>
      <c r="I670" s="244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</row>
    <row r="671">
      <c r="A671" s="245"/>
      <c r="B671" s="245"/>
      <c r="C671" s="245"/>
      <c r="D671" s="245"/>
      <c r="E671" s="245"/>
      <c r="F671" s="245"/>
      <c r="G671" s="245"/>
      <c r="H671" s="245"/>
      <c r="I671" s="244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</row>
    <row r="672">
      <c r="A672" s="245"/>
      <c r="B672" s="245"/>
      <c r="C672" s="245"/>
      <c r="D672" s="245"/>
      <c r="E672" s="245"/>
      <c r="F672" s="245"/>
      <c r="G672" s="245"/>
      <c r="H672" s="245"/>
      <c r="I672" s="244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</row>
    <row r="673">
      <c r="A673" s="245"/>
      <c r="B673" s="245"/>
      <c r="C673" s="245"/>
      <c r="D673" s="245"/>
      <c r="E673" s="245"/>
      <c r="F673" s="245"/>
      <c r="G673" s="245"/>
      <c r="H673" s="245"/>
      <c r="I673" s="244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</row>
    <row r="674">
      <c r="A674" s="245"/>
      <c r="B674" s="245"/>
      <c r="C674" s="245"/>
      <c r="D674" s="245"/>
      <c r="E674" s="245"/>
      <c r="F674" s="245"/>
      <c r="G674" s="245"/>
      <c r="H674" s="245"/>
      <c r="I674" s="244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</row>
    <row r="675">
      <c r="A675" s="245"/>
      <c r="B675" s="245"/>
      <c r="C675" s="245"/>
      <c r="D675" s="245"/>
      <c r="E675" s="245"/>
      <c r="F675" s="245"/>
      <c r="G675" s="245"/>
      <c r="H675" s="245"/>
      <c r="I675" s="244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</row>
    <row r="676">
      <c r="A676" s="245"/>
      <c r="B676" s="245"/>
      <c r="C676" s="245"/>
      <c r="D676" s="245"/>
      <c r="E676" s="245"/>
      <c r="F676" s="245"/>
      <c r="G676" s="245"/>
      <c r="H676" s="245"/>
      <c r="I676" s="244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</row>
    <row r="677">
      <c r="A677" s="245"/>
      <c r="B677" s="245"/>
      <c r="C677" s="245"/>
      <c r="D677" s="245"/>
      <c r="E677" s="245"/>
      <c r="F677" s="245"/>
      <c r="G677" s="245"/>
      <c r="H677" s="245"/>
      <c r="I677" s="244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</row>
    <row r="678">
      <c r="A678" s="245"/>
      <c r="B678" s="245"/>
      <c r="C678" s="245"/>
      <c r="D678" s="245"/>
      <c r="E678" s="245"/>
      <c r="F678" s="245"/>
      <c r="G678" s="245"/>
      <c r="H678" s="245"/>
      <c r="I678" s="244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</row>
    <row r="679">
      <c r="A679" s="245"/>
      <c r="B679" s="245"/>
      <c r="C679" s="245"/>
      <c r="D679" s="245"/>
      <c r="E679" s="245"/>
      <c r="F679" s="245"/>
      <c r="G679" s="245"/>
      <c r="H679" s="245"/>
      <c r="I679" s="244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</row>
    <row r="680">
      <c r="A680" s="245"/>
      <c r="B680" s="245"/>
      <c r="C680" s="245"/>
      <c r="D680" s="245"/>
      <c r="E680" s="245"/>
      <c r="F680" s="245"/>
      <c r="G680" s="245"/>
      <c r="H680" s="245"/>
      <c r="I680" s="244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</row>
    <row r="681">
      <c r="A681" s="245"/>
      <c r="B681" s="245"/>
      <c r="C681" s="245"/>
      <c r="D681" s="245"/>
      <c r="E681" s="245"/>
      <c r="F681" s="245"/>
      <c r="G681" s="245"/>
      <c r="H681" s="245"/>
      <c r="I681" s="244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</row>
    <row r="682">
      <c r="A682" s="245"/>
      <c r="B682" s="245"/>
      <c r="C682" s="245"/>
      <c r="D682" s="245"/>
      <c r="E682" s="245"/>
      <c r="F682" s="245"/>
      <c r="G682" s="245"/>
      <c r="H682" s="245"/>
      <c r="I682" s="244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</row>
    <row r="683">
      <c r="A683" s="245"/>
      <c r="B683" s="245"/>
      <c r="C683" s="245"/>
      <c r="D683" s="245"/>
      <c r="E683" s="245"/>
      <c r="F683" s="245"/>
      <c r="G683" s="245"/>
      <c r="H683" s="245"/>
      <c r="I683" s="244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</row>
    <row r="684">
      <c r="A684" s="245"/>
      <c r="B684" s="245"/>
      <c r="C684" s="245"/>
      <c r="D684" s="245"/>
      <c r="E684" s="245"/>
      <c r="F684" s="245"/>
      <c r="G684" s="245"/>
      <c r="H684" s="245"/>
      <c r="I684" s="244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</row>
    <row r="685">
      <c r="A685" s="245"/>
      <c r="B685" s="245"/>
      <c r="C685" s="245"/>
      <c r="D685" s="245"/>
      <c r="E685" s="245"/>
      <c r="F685" s="245"/>
      <c r="G685" s="245"/>
      <c r="H685" s="245"/>
      <c r="I685" s="244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</row>
    <row r="686">
      <c r="A686" s="245"/>
      <c r="B686" s="245"/>
      <c r="C686" s="245"/>
      <c r="D686" s="245"/>
      <c r="E686" s="245"/>
      <c r="F686" s="245"/>
      <c r="G686" s="245"/>
      <c r="H686" s="245"/>
      <c r="I686" s="244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</row>
    <row r="687">
      <c r="A687" s="245"/>
      <c r="B687" s="245"/>
      <c r="C687" s="245"/>
      <c r="D687" s="245"/>
      <c r="E687" s="245"/>
      <c r="F687" s="245"/>
      <c r="G687" s="245"/>
      <c r="H687" s="245"/>
      <c r="I687" s="244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</row>
    <row r="688">
      <c r="A688" s="245"/>
      <c r="B688" s="245"/>
      <c r="C688" s="245"/>
      <c r="D688" s="245"/>
      <c r="E688" s="245"/>
      <c r="F688" s="245"/>
      <c r="G688" s="245"/>
      <c r="H688" s="245"/>
      <c r="I688" s="244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</row>
    <row r="689">
      <c r="A689" s="245"/>
      <c r="B689" s="245"/>
      <c r="C689" s="245"/>
      <c r="D689" s="245"/>
      <c r="E689" s="245"/>
      <c r="F689" s="245"/>
      <c r="G689" s="245"/>
      <c r="H689" s="245"/>
      <c r="I689" s="244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</row>
    <row r="690">
      <c r="A690" s="245"/>
      <c r="B690" s="245"/>
      <c r="C690" s="245"/>
      <c r="D690" s="245"/>
      <c r="E690" s="245"/>
      <c r="F690" s="245"/>
      <c r="G690" s="245"/>
      <c r="H690" s="245"/>
      <c r="I690" s="244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</row>
    <row r="691">
      <c r="A691" s="245"/>
      <c r="B691" s="245"/>
      <c r="C691" s="245"/>
      <c r="D691" s="245"/>
      <c r="E691" s="245"/>
      <c r="F691" s="245"/>
      <c r="G691" s="245"/>
      <c r="H691" s="245"/>
      <c r="I691" s="244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</row>
    <row r="692">
      <c r="A692" s="245"/>
      <c r="B692" s="245"/>
      <c r="C692" s="245"/>
      <c r="D692" s="245"/>
      <c r="E692" s="245"/>
      <c r="F692" s="245"/>
      <c r="G692" s="245"/>
      <c r="H692" s="245"/>
      <c r="I692" s="244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</row>
    <row r="693">
      <c r="A693" s="245"/>
      <c r="B693" s="245"/>
      <c r="C693" s="245"/>
      <c r="D693" s="245"/>
      <c r="E693" s="245"/>
      <c r="F693" s="245"/>
      <c r="G693" s="245"/>
      <c r="H693" s="245"/>
      <c r="I693" s="244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</row>
    <row r="694">
      <c r="A694" s="245"/>
      <c r="B694" s="245"/>
      <c r="C694" s="245"/>
      <c r="D694" s="245"/>
      <c r="E694" s="245"/>
      <c r="F694" s="245"/>
      <c r="G694" s="245"/>
      <c r="H694" s="245"/>
      <c r="I694" s="244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</row>
    <row r="695">
      <c r="A695" s="245"/>
      <c r="B695" s="245"/>
      <c r="C695" s="245"/>
      <c r="D695" s="245"/>
      <c r="E695" s="245"/>
      <c r="F695" s="245"/>
      <c r="G695" s="245"/>
      <c r="H695" s="245"/>
      <c r="I695" s="244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</row>
    <row r="696">
      <c r="A696" s="245"/>
      <c r="B696" s="245"/>
      <c r="C696" s="245"/>
      <c r="D696" s="245"/>
      <c r="E696" s="245"/>
      <c r="F696" s="245"/>
      <c r="G696" s="245"/>
      <c r="H696" s="245"/>
      <c r="I696" s="244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</row>
    <row r="697">
      <c r="A697" s="245"/>
      <c r="B697" s="245"/>
      <c r="C697" s="245"/>
      <c r="D697" s="245"/>
      <c r="E697" s="245"/>
      <c r="F697" s="245"/>
      <c r="G697" s="245"/>
      <c r="H697" s="245"/>
      <c r="I697" s="244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</row>
    <row r="698">
      <c r="A698" s="245"/>
      <c r="B698" s="245"/>
      <c r="C698" s="245"/>
      <c r="D698" s="245"/>
      <c r="E698" s="245"/>
      <c r="F698" s="245"/>
      <c r="G698" s="245"/>
      <c r="H698" s="245"/>
      <c r="I698" s="244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</row>
    <row r="699">
      <c r="A699" s="245"/>
      <c r="B699" s="245"/>
      <c r="C699" s="245"/>
      <c r="D699" s="245"/>
      <c r="E699" s="245"/>
      <c r="F699" s="245"/>
      <c r="G699" s="245"/>
      <c r="H699" s="245"/>
      <c r="I699" s="244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</row>
    <row r="700">
      <c r="A700" s="245"/>
      <c r="B700" s="245"/>
      <c r="C700" s="245"/>
      <c r="D700" s="245"/>
      <c r="E700" s="245"/>
      <c r="F700" s="245"/>
      <c r="G700" s="245"/>
      <c r="H700" s="245"/>
      <c r="I700" s="244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</row>
    <row r="701">
      <c r="A701" s="245"/>
      <c r="B701" s="245"/>
      <c r="C701" s="245"/>
      <c r="D701" s="245"/>
      <c r="E701" s="245"/>
      <c r="F701" s="245"/>
      <c r="G701" s="245"/>
      <c r="H701" s="245"/>
      <c r="I701" s="244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</row>
    <row r="702">
      <c r="A702" s="245"/>
      <c r="B702" s="245"/>
      <c r="C702" s="245"/>
      <c r="D702" s="245"/>
      <c r="E702" s="245"/>
      <c r="F702" s="245"/>
      <c r="G702" s="245"/>
      <c r="H702" s="245"/>
      <c r="I702" s="244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</row>
    <row r="703">
      <c r="A703" s="245"/>
      <c r="B703" s="245"/>
      <c r="C703" s="245"/>
      <c r="D703" s="245"/>
      <c r="E703" s="245"/>
      <c r="F703" s="245"/>
      <c r="G703" s="245"/>
      <c r="H703" s="245"/>
      <c r="I703" s="244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</row>
    <row r="704">
      <c r="A704" s="245"/>
      <c r="B704" s="245"/>
      <c r="C704" s="245"/>
      <c r="D704" s="245"/>
      <c r="E704" s="245"/>
      <c r="F704" s="245"/>
      <c r="G704" s="245"/>
      <c r="H704" s="245"/>
      <c r="I704" s="244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</row>
    <row r="705">
      <c r="A705" s="245"/>
      <c r="B705" s="245"/>
      <c r="C705" s="245"/>
      <c r="D705" s="245"/>
      <c r="E705" s="245"/>
      <c r="F705" s="245"/>
      <c r="G705" s="245"/>
      <c r="H705" s="245"/>
      <c r="I705" s="244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</row>
    <row r="706">
      <c r="A706" s="245"/>
      <c r="B706" s="245"/>
      <c r="C706" s="245"/>
      <c r="D706" s="245"/>
      <c r="E706" s="245"/>
      <c r="F706" s="245"/>
      <c r="G706" s="245"/>
      <c r="H706" s="245"/>
      <c r="I706" s="244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</row>
    <row r="707">
      <c r="A707" s="245"/>
      <c r="B707" s="245"/>
      <c r="C707" s="245"/>
      <c r="D707" s="245"/>
      <c r="E707" s="245"/>
      <c r="F707" s="245"/>
      <c r="G707" s="245"/>
      <c r="H707" s="245"/>
      <c r="I707" s="244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</row>
    <row r="708">
      <c r="A708" s="245"/>
      <c r="B708" s="245"/>
      <c r="C708" s="245"/>
      <c r="D708" s="245"/>
      <c r="E708" s="245"/>
      <c r="F708" s="245"/>
      <c r="G708" s="245"/>
      <c r="H708" s="245"/>
      <c r="I708" s="244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</row>
    <row r="709">
      <c r="A709" s="245"/>
      <c r="B709" s="245"/>
      <c r="C709" s="245"/>
      <c r="D709" s="245"/>
      <c r="E709" s="245"/>
      <c r="F709" s="245"/>
      <c r="G709" s="245"/>
      <c r="H709" s="245"/>
      <c r="I709" s="244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</row>
    <row r="710">
      <c r="A710" s="245"/>
      <c r="B710" s="245"/>
      <c r="C710" s="245"/>
      <c r="D710" s="245"/>
      <c r="E710" s="245"/>
      <c r="F710" s="245"/>
      <c r="G710" s="245"/>
      <c r="H710" s="245"/>
      <c r="I710" s="244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</row>
    <row r="711">
      <c r="A711" s="245"/>
      <c r="B711" s="245"/>
      <c r="C711" s="245"/>
      <c r="D711" s="245"/>
      <c r="E711" s="245"/>
      <c r="F711" s="245"/>
      <c r="G711" s="245"/>
      <c r="H711" s="245"/>
      <c r="I711" s="244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</row>
    <row r="712">
      <c r="A712" s="245"/>
      <c r="B712" s="245"/>
      <c r="C712" s="245"/>
      <c r="D712" s="245"/>
      <c r="E712" s="245"/>
      <c r="F712" s="245"/>
      <c r="G712" s="245"/>
      <c r="H712" s="245"/>
      <c r="I712" s="244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</row>
    <row r="713">
      <c r="A713" s="245"/>
      <c r="B713" s="245"/>
      <c r="C713" s="245"/>
      <c r="D713" s="245"/>
      <c r="E713" s="245"/>
      <c r="F713" s="245"/>
      <c r="G713" s="245"/>
      <c r="H713" s="245"/>
      <c r="I713" s="244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</row>
    <row r="714">
      <c r="A714" s="245"/>
      <c r="B714" s="245"/>
      <c r="C714" s="245"/>
      <c r="D714" s="245"/>
      <c r="E714" s="245"/>
      <c r="F714" s="245"/>
      <c r="G714" s="245"/>
      <c r="H714" s="245"/>
      <c r="I714" s="244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</row>
    <row r="715">
      <c r="A715" s="245"/>
      <c r="B715" s="245"/>
      <c r="C715" s="245"/>
      <c r="D715" s="245"/>
      <c r="E715" s="245"/>
      <c r="F715" s="245"/>
      <c r="G715" s="245"/>
      <c r="H715" s="245"/>
      <c r="I715" s="244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</row>
    <row r="716">
      <c r="A716" s="245"/>
      <c r="B716" s="245"/>
      <c r="C716" s="245"/>
      <c r="D716" s="245"/>
      <c r="E716" s="245"/>
      <c r="F716" s="245"/>
      <c r="G716" s="245"/>
      <c r="H716" s="245"/>
      <c r="I716" s="244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</row>
    <row r="717">
      <c r="A717" s="245"/>
      <c r="B717" s="245"/>
      <c r="C717" s="245"/>
      <c r="D717" s="245"/>
      <c r="E717" s="245"/>
      <c r="F717" s="245"/>
      <c r="G717" s="245"/>
      <c r="H717" s="245"/>
      <c r="I717" s="244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</row>
    <row r="718">
      <c r="A718" s="245"/>
      <c r="B718" s="245"/>
      <c r="C718" s="245"/>
      <c r="D718" s="245"/>
      <c r="E718" s="245"/>
      <c r="F718" s="245"/>
      <c r="G718" s="245"/>
      <c r="H718" s="245"/>
      <c r="I718" s="244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</row>
    <row r="719">
      <c r="A719" s="245"/>
      <c r="B719" s="245"/>
      <c r="C719" s="245"/>
      <c r="D719" s="245"/>
      <c r="E719" s="245"/>
      <c r="F719" s="245"/>
      <c r="G719" s="245"/>
      <c r="H719" s="245"/>
      <c r="I719" s="244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</row>
    <row r="720">
      <c r="A720" s="245"/>
      <c r="B720" s="245"/>
      <c r="C720" s="245"/>
      <c r="D720" s="245"/>
      <c r="E720" s="245"/>
      <c r="F720" s="245"/>
      <c r="G720" s="245"/>
      <c r="H720" s="245"/>
      <c r="I720" s="244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</row>
    <row r="721">
      <c r="A721" s="245"/>
      <c r="B721" s="245"/>
      <c r="C721" s="245"/>
      <c r="D721" s="245"/>
      <c r="E721" s="245"/>
      <c r="F721" s="245"/>
      <c r="G721" s="245"/>
      <c r="H721" s="245"/>
      <c r="I721" s="244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</row>
    <row r="722">
      <c r="A722" s="245"/>
      <c r="B722" s="245"/>
      <c r="C722" s="245"/>
      <c r="D722" s="245"/>
      <c r="E722" s="245"/>
      <c r="F722" s="245"/>
      <c r="G722" s="245"/>
      <c r="H722" s="245"/>
      <c r="I722" s="244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</row>
    <row r="723">
      <c r="A723" s="245"/>
      <c r="B723" s="245"/>
      <c r="C723" s="245"/>
      <c r="D723" s="245"/>
      <c r="E723" s="245"/>
      <c r="F723" s="245"/>
      <c r="G723" s="245"/>
      <c r="H723" s="245"/>
      <c r="I723" s="244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</row>
    <row r="724">
      <c r="A724" s="245"/>
      <c r="B724" s="245"/>
      <c r="C724" s="245"/>
      <c r="D724" s="245"/>
      <c r="E724" s="245"/>
      <c r="F724" s="245"/>
      <c r="G724" s="245"/>
      <c r="H724" s="245"/>
      <c r="I724" s="244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</row>
    <row r="725">
      <c r="A725" s="245"/>
      <c r="B725" s="245"/>
      <c r="C725" s="245"/>
      <c r="D725" s="245"/>
      <c r="E725" s="245"/>
      <c r="F725" s="245"/>
      <c r="G725" s="245"/>
      <c r="H725" s="245"/>
      <c r="I725" s="244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</row>
    <row r="726">
      <c r="A726" s="245"/>
      <c r="B726" s="245"/>
      <c r="C726" s="245"/>
      <c r="D726" s="245"/>
      <c r="E726" s="245"/>
      <c r="F726" s="245"/>
      <c r="G726" s="245"/>
      <c r="H726" s="245"/>
      <c r="I726" s="244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</row>
    <row r="727">
      <c r="A727" s="245"/>
      <c r="B727" s="245"/>
      <c r="C727" s="245"/>
      <c r="D727" s="245"/>
      <c r="E727" s="245"/>
      <c r="F727" s="245"/>
      <c r="G727" s="245"/>
      <c r="H727" s="245"/>
      <c r="I727" s="244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</row>
    <row r="728">
      <c r="A728" s="245"/>
      <c r="B728" s="245"/>
      <c r="C728" s="245"/>
      <c r="D728" s="245"/>
      <c r="E728" s="245"/>
      <c r="F728" s="245"/>
      <c r="G728" s="245"/>
      <c r="H728" s="245"/>
      <c r="I728" s="244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</row>
    <row r="729">
      <c r="A729" s="245"/>
      <c r="B729" s="245"/>
      <c r="C729" s="245"/>
      <c r="D729" s="245"/>
      <c r="E729" s="245"/>
      <c r="F729" s="245"/>
      <c r="G729" s="245"/>
      <c r="H729" s="245"/>
      <c r="I729" s="244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</row>
    <row r="730">
      <c r="A730" s="245"/>
      <c r="B730" s="245"/>
      <c r="C730" s="245"/>
      <c r="D730" s="245"/>
      <c r="E730" s="245"/>
      <c r="F730" s="245"/>
      <c r="G730" s="245"/>
      <c r="H730" s="245"/>
      <c r="I730" s="244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</row>
    <row r="731">
      <c r="A731" s="245"/>
      <c r="B731" s="245"/>
      <c r="C731" s="245"/>
      <c r="D731" s="245"/>
      <c r="E731" s="245"/>
      <c r="F731" s="245"/>
      <c r="G731" s="245"/>
      <c r="H731" s="245"/>
      <c r="I731" s="244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</row>
    <row r="732">
      <c r="A732" s="245"/>
      <c r="B732" s="245"/>
      <c r="C732" s="245"/>
      <c r="D732" s="245"/>
      <c r="E732" s="245"/>
      <c r="F732" s="245"/>
      <c r="G732" s="245"/>
      <c r="H732" s="245"/>
      <c r="I732" s="244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</row>
    <row r="733">
      <c r="A733" s="245"/>
      <c r="B733" s="245"/>
      <c r="C733" s="245"/>
      <c r="D733" s="245"/>
      <c r="E733" s="245"/>
      <c r="F733" s="245"/>
      <c r="G733" s="245"/>
      <c r="H733" s="245"/>
      <c r="I733" s="244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</row>
    <row r="734">
      <c r="A734" s="245"/>
      <c r="B734" s="245"/>
      <c r="C734" s="245"/>
      <c r="D734" s="245"/>
      <c r="E734" s="245"/>
      <c r="F734" s="245"/>
      <c r="G734" s="245"/>
      <c r="H734" s="245"/>
      <c r="I734" s="244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</row>
    <row r="735">
      <c r="A735" s="245"/>
      <c r="B735" s="245"/>
      <c r="C735" s="245"/>
      <c r="D735" s="245"/>
      <c r="E735" s="245"/>
      <c r="F735" s="245"/>
      <c r="G735" s="245"/>
      <c r="H735" s="245"/>
      <c r="I735" s="244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</row>
    <row r="736">
      <c r="A736" s="245"/>
      <c r="B736" s="245"/>
      <c r="C736" s="245"/>
      <c r="D736" s="245"/>
      <c r="E736" s="245"/>
      <c r="F736" s="245"/>
      <c r="G736" s="245"/>
      <c r="H736" s="245"/>
      <c r="I736" s="244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</row>
    <row r="737">
      <c r="A737" s="245"/>
      <c r="B737" s="245"/>
      <c r="C737" s="245"/>
      <c r="D737" s="245"/>
      <c r="E737" s="245"/>
      <c r="F737" s="245"/>
      <c r="G737" s="245"/>
      <c r="H737" s="245"/>
      <c r="I737" s="244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</row>
    <row r="738">
      <c r="A738" s="245"/>
      <c r="B738" s="245"/>
      <c r="C738" s="245"/>
      <c r="D738" s="245"/>
      <c r="E738" s="245"/>
      <c r="F738" s="245"/>
      <c r="G738" s="245"/>
      <c r="H738" s="245"/>
      <c r="I738" s="244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</row>
    <row r="739">
      <c r="A739" s="245"/>
      <c r="B739" s="245"/>
      <c r="C739" s="245"/>
      <c r="D739" s="245"/>
      <c r="E739" s="245"/>
      <c r="F739" s="245"/>
      <c r="G739" s="245"/>
      <c r="H739" s="245"/>
      <c r="I739" s="244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</row>
    <row r="740">
      <c r="A740" s="245"/>
      <c r="B740" s="245"/>
      <c r="C740" s="245"/>
      <c r="D740" s="245"/>
      <c r="E740" s="245"/>
      <c r="F740" s="245"/>
      <c r="G740" s="245"/>
      <c r="H740" s="245"/>
      <c r="I740" s="244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</row>
    <row r="741">
      <c r="A741" s="245"/>
      <c r="B741" s="245"/>
      <c r="C741" s="245"/>
      <c r="D741" s="245"/>
      <c r="E741" s="245"/>
      <c r="F741" s="245"/>
      <c r="G741" s="245"/>
      <c r="H741" s="245"/>
      <c r="I741" s="244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</row>
    <row r="742">
      <c r="A742" s="245"/>
      <c r="B742" s="245"/>
      <c r="C742" s="245"/>
      <c r="D742" s="245"/>
      <c r="E742" s="245"/>
      <c r="F742" s="245"/>
      <c r="G742" s="245"/>
      <c r="H742" s="245"/>
      <c r="I742" s="244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</row>
    <row r="743">
      <c r="A743" s="245"/>
      <c r="B743" s="245"/>
      <c r="C743" s="245"/>
      <c r="D743" s="245"/>
      <c r="E743" s="245"/>
      <c r="F743" s="245"/>
      <c r="G743" s="245"/>
      <c r="H743" s="245"/>
      <c r="I743" s="244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</row>
    <row r="744">
      <c r="A744" s="245"/>
      <c r="B744" s="245"/>
      <c r="C744" s="245"/>
      <c r="D744" s="245"/>
      <c r="E744" s="245"/>
      <c r="F744" s="245"/>
      <c r="G744" s="245"/>
      <c r="H744" s="245"/>
      <c r="I744" s="244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</row>
    <row r="745">
      <c r="A745" s="245"/>
      <c r="B745" s="245"/>
      <c r="C745" s="245"/>
      <c r="D745" s="245"/>
      <c r="E745" s="245"/>
      <c r="F745" s="245"/>
      <c r="G745" s="245"/>
      <c r="H745" s="245"/>
      <c r="I745" s="244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</row>
    <row r="746">
      <c r="A746" s="245"/>
      <c r="B746" s="245"/>
      <c r="C746" s="245"/>
      <c r="D746" s="245"/>
      <c r="E746" s="245"/>
      <c r="F746" s="245"/>
      <c r="G746" s="245"/>
      <c r="H746" s="245"/>
      <c r="I746" s="244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</row>
    <row r="747">
      <c r="A747" s="245"/>
      <c r="B747" s="245"/>
      <c r="C747" s="245"/>
      <c r="D747" s="245"/>
      <c r="E747" s="245"/>
      <c r="F747" s="245"/>
      <c r="G747" s="245"/>
      <c r="H747" s="245"/>
      <c r="I747" s="244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</row>
    <row r="748">
      <c r="A748" s="245"/>
      <c r="B748" s="245"/>
      <c r="C748" s="245"/>
      <c r="D748" s="245"/>
      <c r="E748" s="245"/>
      <c r="F748" s="245"/>
      <c r="G748" s="245"/>
      <c r="H748" s="245"/>
      <c r="I748" s="244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</row>
    <row r="749">
      <c r="A749" s="245"/>
      <c r="B749" s="245"/>
      <c r="C749" s="245"/>
      <c r="D749" s="245"/>
      <c r="E749" s="245"/>
      <c r="F749" s="245"/>
      <c r="G749" s="245"/>
      <c r="H749" s="245"/>
      <c r="I749" s="244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</row>
    <row r="750">
      <c r="A750" s="245"/>
      <c r="B750" s="245"/>
      <c r="C750" s="245"/>
      <c r="D750" s="245"/>
      <c r="E750" s="245"/>
      <c r="F750" s="245"/>
      <c r="G750" s="245"/>
      <c r="H750" s="245"/>
      <c r="I750" s="244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</row>
    <row r="751">
      <c r="A751" s="245"/>
      <c r="B751" s="245"/>
      <c r="C751" s="245"/>
      <c r="D751" s="245"/>
      <c r="E751" s="245"/>
      <c r="F751" s="245"/>
      <c r="G751" s="245"/>
      <c r="H751" s="245"/>
      <c r="I751" s="244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</row>
    <row r="752">
      <c r="A752" s="245"/>
      <c r="B752" s="245"/>
      <c r="C752" s="245"/>
      <c r="D752" s="245"/>
      <c r="E752" s="245"/>
      <c r="F752" s="245"/>
      <c r="G752" s="245"/>
      <c r="H752" s="245"/>
      <c r="I752" s="244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</row>
    <row r="753">
      <c r="A753" s="245"/>
      <c r="B753" s="245"/>
      <c r="C753" s="245"/>
      <c r="D753" s="245"/>
      <c r="E753" s="245"/>
      <c r="F753" s="245"/>
      <c r="G753" s="245"/>
      <c r="H753" s="245"/>
      <c r="I753" s="244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</row>
    <row r="754">
      <c r="A754" s="245"/>
      <c r="B754" s="245"/>
      <c r="C754" s="245"/>
      <c r="D754" s="245"/>
      <c r="E754" s="245"/>
      <c r="F754" s="245"/>
      <c r="G754" s="245"/>
      <c r="H754" s="245"/>
      <c r="I754" s="244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</row>
    <row r="755">
      <c r="A755" s="245"/>
      <c r="B755" s="245"/>
      <c r="C755" s="245"/>
      <c r="D755" s="245"/>
      <c r="E755" s="245"/>
      <c r="F755" s="245"/>
      <c r="G755" s="245"/>
      <c r="H755" s="245"/>
      <c r="I755" s="244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</row>
    <row r="756">
      <c r="A756" s="245"/>
      <c r="B756" s="245"/>
      <c r="C756" s="245"/>
      <c r="D756" s="245"/>
      <c r="E756" s="245"/>
      <c r="F756" s="245"/>
      <c r="G756" s="245"/>
      <c r="H756" s="245"/>
      <c r="I756" s="244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</row>
    <row r="757">
      <c r="A757" s="245"/>
      <c r="B757" s="245"/>
      <c r="C757" s="245"/>
      <c r="D757" s="245"/>
      <c r="E757" s="245"/>
      <c r="F757" s="245"/>
      <c r="G757" s="245"/>
      <c r="H757" s="245"/>
      <c r="I757" s="244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</row>
    <row r="758">
      <c r="A758" s="245"/>
      <c r="B758" s="245"/>
      <c r="C758" s="245"/>
      <c r="D758" s="245"/>
      <c r="E758" s="245"/>
      <c r="F758" s="245"/>
      <c r="G758" s="245"/>
      <c r="H758" s="245"/>
      <c r="I758" s="244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</row>
    <row r="759">
      <c r="A759" s="245"/>
      <c r="B759" s="245"/>
      <c r="C759" s="245"/>
      <c r="D759" s="245"/>
      <c r="E759" s="245"/>
      <c r="F759" s="245"/>
      <c r="G759" s="245"/>
      <c r="H759" s="245"/>
      <c r="I759" s="244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</row>
    <row r="760">
      <c r="A760" s="245"/>
      <c r="B760" s="245"/>
      <c r="C760" s="245"/>
      <c r="D760" s="245"/>
      <c r="E760" s="245"/>
      <c r="F760" s="245"/>
      <c r="G760" s="245"/>
      <c r="H760" s="245"/>
      <c r="I760" s="244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</row>
    <row r="761">
      <c r="A761" s="245"/>
      <c r="B761" s="245"/>
      <c r="C761" s="245"/>
      <c r="D761" s="245"/>
      <c r="E761" s="245"/>
      <c r="F761" s="245"/>
      <c r="G761" s="245"/>
      <c r="H761" s="245"/>
      <c r="I761" s="244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</row>
    <row r="762">
      <c r="A762" s="245"/>
      <c r="B762" s="245"/>
      <c r="C762" s="245"/>
      <c r="D762" s="245"/>
      <c r="E762" s="245"/>
      <c r="F762" s="245"/>
      <c r="G762" s="245"/>
      <c r="H762" s="245"/>
      <c r="I762" s="244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</row>
    <row r="763">
      <c r="A763" s="245"/>
      <c r="B763" s="245"/>
      <c r="C763" s="245"/>
      <c r="D763" s="245"/>
      <c r="E763" s="245"/>
      <c r="F763" s="245"/>
      <c r="G763" s="245"/>
      <c r="H763" s="245"/>
      <c r="I763" s="244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</row>
    <row r="764">
      <c r="A764" s="245"/>
      <c r="B764" s="245"/>
      <c r="C764" s="245"/>
      <c r="D764" s="245"/>
      <c r="E764" s="245"/>
      <c r="F764" s="245"/>
      <c r="G764" s="245"/>
      <c r="H764" s="245"/>
      <c r="I764" s="244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</row>
    <row r="765">
      <c r="A765" s="245"/>
      <c r="B765" s="245"/>
      <c r="C765" s="245"/>
      <c r="D765" s="245"/>
      <c r="E765" s="245"/>
      <c r="F765" s="245"/>
      <c r="G765" s="245"/>
      <c r="H765" s="245"/>
      <c r="I765" s="244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</row>
    <row r="766">
      <c r="A766" s="245"/>
      <c r="B766" s="245"/>
      <c r="C766" s="245"/>
      <c r="D766" s="245"/>
      <c r="E766" s="245"/>
      <c r="F766" s="245"/>
      <c r="G766" s="245"/>
      <c r="H766" s="245"/>
      <c r="I766" s="244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</row>
    <row r="767">
      <c r="A767" s="245"/>
      <c r="B767" s="245"/>
      <c r="C767" s="245"/>
      <c r="D767" s="245"/>
      <c r="E767" s="245"/>
      <c r="F767" s="245"/>
      <c r="G767" s="245"/>
      <c r="H767" s="245"/>
      <c r="I767" s="244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</row>
    <row r="768">
      <c r="A768" s="245"/>
      <c r="B768" s="245"/>
      <c r="C768" s="245"/>
      <c r="D768" s="245"/>
      <c r="E768" s="245"/>
      <c r="F768" s="245"/>
      <c r="G768" s="245"/>
      <c r="H768" s="245"/>
      <c r="I768" s="244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</row>
    <row r="769">
      <c r="A769" s="245"/>
      <c r="B769" s="245"/>
      <c r="C769" s="245"/>
      <c r="D769" s="245"/>
      <c r="E769" s="245"/>
      <c r="F769" s="245"/>
      <c r="G769" s="245"/>
      <c r="H769" s="245"/>
      <c r="I769" s="244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</row>
    <row r="770">
      <c r="A770" s="245"/>
      <c r="B770" s="245"/>
      <c r="C770" s="245"/>
      <c r="D770" s="245"/>
      <c r="E770" s="245"/>
      <c r="F770" s="245"/>
      <c r="G770" s="245"/>
      <c r="H770" s="245"/>
      <c r="I770" s="244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</row>
    <row r="771">
      <c r="A771" s="245"/>
      <c r="B771" s="245"/>
      <c r="C771" s="245"/>
      <c r="D771" s="245"/>
      <c r="E771" s="245"/>
      <c r="F771" s="245"/>
      <c r="G771" s="245"/>
      <c r="H771" s="245"/>
      <c r="I771" s="244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</row>
    <row r="772">
      <c r="A772" s="245"/>
      <c r="B772" s="245"/>
      <c r="C772" s="245"/>
      <c r="D772" s="245"/>
      <c r="E772" s="245"/>
      <c r="F772" s="245"/>
      <c r="G772" s="245"/>
      <c r="H772" s="245"/>
      <c r="I772" s="244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</row>
    <row r="773">
      <c r="A773" s="245"/>
      <c r="B773" s="245"/>
      <c r="C773" s="245"/>
      <c r="D773" s="245"/>
      <c r="E773" s="245"/>
      <c r="F773" s="245"/>
      <c r="G773" s="245"/>
      <c r="H773" s="245"/>
      <c r="I773" s="244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</row>
    <row r="774">
      <c r="A774" s="245"/>
      <c r="B774" s="245"/>
      <c r="C774" s="245"/>
      <c r="D774" s="245"/>
      <c r="E774" s="245"/>
      <c r="F774" s="245"/>
      <c r="G774" s="245"/>
      <c r="H774" s="245"/>
      <c r="I774" s="244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</row>
    <row r="775">
      <c r="A775" s="245"/>
      <c r="B775" s="245"/>
      <c r="C775" s="245"/>
      <c r="D775" s="245"/>
      <c r="E775" s="245"/>
      <c r="F775" s="245"/>
      <c r="G775" s="245"/>
      <c r="H775" s="245"/>
      <c r="I775" s="244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</row>
    <row r="776">
      <c r="A776" s="245"/>
      <c r="B776" s="245"/>
      <c r="C776" s="245"/>
      <c r="D776" s="245"/>
      <c r="E776" s="245"/>
      <c r="F776" s="245"/>
      <c r="G776" s="245"/>
      <c r="H776" s="245"/>
      <c r="I776" s="244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</row>
    <row r="777">
      <c r="A777" s="245"/>
      <c r="B777" s="245"/>
      <c r="C777" s="245"/>
      <c r="D777" s="245"/>
      <c r="E777" s="245"/>
      <c r="F777" s="245"/>
      <c r="G777" s="245"/>
      <c r="H777" s="245"/>
      <c r="I777" s="244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</row>
    <row r="778">
      <c r="A778" s="245"/>
      <c r="B778" s="245"/>
      <c r="C778" s="245"/>
      <c r="D778" s="245"/>
      <c r="E778" s="245"/>
      <c r="F778" s="245"/>
      <c r="G778" s="245"/>
      <c r="H778" s="245"/>
      <c r="I778" s="244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</row>
    <row r="779">
      <c r="A779" s="245"/>
      <c r="B779" s="245"/>
      <c r="C779" s="245"/>
      <c r="D779" s="245"/>
      <c r="E779" s="245"/>
      <c r="F779" s="245"/>
      <c r="G779" s="245"/>
      <c r="H779" s="245"/>
      <c r="I779" s="244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</row>
    <row r="780">
      <c r="A780" s="245"/>
      <c r="B780" s="245"/>
      <c r="C780" s="245"/>
      <c r="D780" s="245"/>
      <c r="E780" s="245"/>
      <c r="F780" s="245"/>
      <c r="G780" s="245"/>
      <c r="H780" s="245"/>
      <c r="I780" s="244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</row>
    <row r="781">
      <c r="A781" s="245"/>
      <c r="B781" s="245"/>
      <c r="C781" s="245"/>
      <c r="D781" s="245"/>
      <c r="E781" s="245"/>
      <c r="F781" s="245"/>
      <c r="G781" s="245"/>
      <c r="H781" s="245"/>
      <c r="I781" s="244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</row>
    <row r="782">
      <c r="A782" s="245"/>
      <c r="B782" s="245"/>
      <c r="C782" s="245"/>
      <c r="D782" s="245"/>
      <c r="E782" s="245"/>
      <c r="F782" s="245"/>
      <c r="G782" s="245"/>
      <c r="H782" s="245"/>
      <c r="I782" s="244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</row>
    <row r="783">
      <c r="A783" s="245"/>
      <c r="B783" s="245"/>
      <c r="C783" s="245"/>
      <c r="D783" s="245"/>
      <c r="E783" s="245"/>
      <c r="F783" s="245"/>
      <c r="G783" s="245"/>
      <c r="H783" s="245"/>
      <c r="I783" s="244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</row>
    <row r="784">
      <c r="A784" s="245"/>
      <c r="B784" s="245"/>
      <c r="C784" s="245"/>
      <c r="D784" s="245"/>
      <c r="E784" s="245"/>
      <c r="F784" s="245"/>
      <c r="G784" s="245"/>
      <c r="H784" s="245"/>
      <c r="I784" s="244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</row>
    <row r="785">
      <c r="A785" s="245"/>
      <c r="B785" s="245"/>
      <c r="C785" s="245"/>
      <c r="D785" s="245"/>
      <c r="E785" s="245"/>
      <c r="F785" s="245"/>
      <c r="G785" s="245"/>
      <c r="H785" s="245"/>
      <c r="I785" s="244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</row>
    <row r="786">
      <c r="A786" s="245"/>
      <c r="B786" s="245"/>
      <c r="C786" s="245"/>
      <c r="D786" s="245"/>
      <c r="E786" s="245"/>
      <c r="F786" s="245"/>
      <c r="G786" s="245"/>
      <c r="H786" s="245"/>
      <c r="I786" s="244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</row>
    <row r="787">
      <c r="A787" s="245"/>
      <c r="B787" s="245"/>
      <c r="C787" s="245"/>
      <c r="D787" s="245"/>
      <c r="E787" s="245"/>
      <c r="F787" s="245"/>
      <c r="G787" s="245"/>
      <c r="H787" s="245"/>
      <c r="I787" s="244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</row>
    <row r="788">
      <c r="A788" s="245"/>
      <c r="B788" s="245"/>
      <c r="C788" s="245"/>
      <c r="D788" s="245"/>
      <c r="E788" s="245"/>
      <c r="F788" s="245"/>
      <c r="G788" s="245"/>
      <c r="H788" s="245"/>
      <c r="I788" s="244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</row>
    <row r="789">
      <c r="A789" s="245"/>
      <c r="B789" s="245"/>
      <c r="C789" s="245"/>
      <c r="D789" s="245"/>
      <c r="E789" s="245"/>
      <c r="F789" s="245"/>
      <c r="G789" s="245"/>
      <c r="H789" s="245"/>
      <c r="I789" s="244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</row>
    <row r="790">
      <c r="A790" s="245"/>
      <c r="B790" s="245"/>
      <c r="C790" s="245"/>
      <c r="D790" s="245"/>
      <c r="E790" s="245"/>
      <c r="F790" s="245"/>
      <c r="G790" s="245"/>
      <c r="H790" s="245"/>
      <c r="I790" s="244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</row>
    <row r="791">
      <c r="A791" s="245"/>
      <c r="B791" s="245"/>
      <c r="C791" s="245"/>
      <c r="D791" s="245"/>
      <c r="E791" s="245"/>
      <c r="F791" s="245"/>
      <c r="G791" s="245"/>
      <c r="H791" s="245"/>
      <c r="I791" s="244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</row>
    <row r="792">
      <c r="A792" s="245"/>
      <c r="B792" s="245"/>
      <c r="C792" s="245"/>
      <c r="D792" s="245"/>
      <c r="E792" s="245"/>
      <c r="F792" s="245"/>
      <c r="G792" s="245"/>
      <c r="H792" s="245"/>
      <c r="I792" s="244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</row>
    <row r="793">
      <c r="A793" s="245"/>
      <c r="B793" s="245"/>
      <c r="C793" s="245"/>
      <c r="D793" s="245"/>
      <c r="E793" s="245"/>
      <c r="F793" s="245"/>
      <c r="G793" s="245"/>
      <c r="H793" s="245"/>
      <c r="I793" s="244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</row>
    <row r="794">
      <c r="A794" s="245"/>
      <c r="B794" s="245"/>
      <c r="C794" s="245"/>
      <c r="D794" s="245"/>
      <c r="E794" s="245"/>
      <c r="F794" s="245"/>
      <c r="G794" s="245"/>
      <c r="H794" s="245"/>
      <c r="I794" s="244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</row>
    <row r="795">
      <c r="A795" s="245"/>
      <c r="B795" s="245"/>
      <c r="C795" s="245"/>
      <c r="D795" s="245"/>
      <c r="E795" s="245"/>
      <c r="F795" s="245"/>
      <c r="G795" s="245"/>
      <c r="H795" s="245"/>
      <c r="I795" s="244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</row>
    <row r="796">
      <c r="A796" s="245"/>
      <c r="B796" s="245"/>
      <c r="C796" s="245"/>
      <c r="D796" s="245"/>
      <c r="E796" s="245"/>
      <c r="F796" s="245"/>
      <c r="G796" s="245"/>
      <c r="H796" s="245"/>
      <c r="I796" s="244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</row>
    <row r="797">
      <c r="A797" s="245"/>
      <c r="B797" s="245"/>
      <c r="C797" s="245"/>
      <c r="D797" s="245"/>
      <c r="E797" s="245"/>
      <c r="F797" s="245"/>
      <c r="G797" s="245"/>
      <c r="H797" s="245"/>
      <c r="I797" s="244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</row>
    <row r="798">
      <c r="A798" s="245"/>
      <c r="B798" s="245"/>
      <c r="C798" s="245"/>
      <c r="D798" s="245"/>
      <c r="E798" s="245"/>
      <c r="F798" s="245"/>
      <c r="G798" s="245"/>
      <c r="H798" s="245"/>
      <c r="I798" s="244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</row>
    <row r="799">
      <c r="A799" s="245"/>
      <c r="B799" s="245"/>
      <c r="C799" s="245"/>
      <c r="D799" s="245"/>
      <c r="E799" s="245"/>
      <c r="F799" s="245"/>
      <c r="G799" s="245"/>
      <c r="H799" s="245"/>
      <c r="I799" s="244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</row>
    <row r="800">
      <c r="A800" s="245"/>
      <c r="B800" s="245"/>
      <c r="C800" s="245"/>
      <c r="D800" s="245"/>
      <c r="E800" s="245"/>
      <c r="F800" s="245"/>
      <c r="G800" s="245"/>
      <c r="H800" s="245"/>
      <c r="I800" s="244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</row>
    <row r="801">
      <c r="A801" s="245"/>
      <c r="B801" s="245"/>
      <c r="C801" s="245"/>
      <c r="D801" s="245"/>
      <c r="E801" s="245"/>
      <c r="F801" s="245"/>
      <c r="G801" s="245"/>
      <c r="H801" s="245"/>
      <c r="I801" s="244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</row>
    <row r="802">
      <c r="A802" s="245"/>
      <c r="B802" s="245"/>
      <c r="C802" s="245"/>
      <c r="D802" s="245"/>
      <c r="E802" s="245"/>
      <c r="F802" s="245"/>
      <c r="G802" s="245"/>
      <c r="H802" s="245"/>
      <c r="I802" s="244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</row>
    <row r="803">
      <c r="A803" s="245"/>
      <c r="B803" s="245"/>
      <c r="C803" s="245"/>
      <c r="D803" s="245"/>
      <c r="E803" s="245"/>
      <c r="F803" s="245"/>
      <c r="G803" s="245"/>
      <c r="H803" s="245"/>
      <c r="I803" s="244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</row>
    <row r="804">
      <c r="A804" s="245"/>
      <c r="B804" s="245"/>
      <c r="C804" s="245"/>
      <c r="D804" s="245"/>
      <c r="E804" s="245"/>
      <c r="F804" s="245"/>
      <c r="G804" s="245"/>
      <c r="H804" s="245"/>
      <c r="I804" s="244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</row>
    <row r="805">
      <c r="A805" s="245"/>
      <c r="B805" s="245"/>
      <c r="C805" s="245"/>
      <c r="D805" s="245"/>
      <c r="E805" s="245"/>
      <c r="F805" s="245"/>
      <c r="G805" s="245"/>
      <c r="H805" s="245"/>
      <c r="I805" s="244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</row>
    <row r="806">
      <c r="A806" s="245"/>
      <c r="B806" s="245"/>
      <c r="C806" s="245"/>
      <c r="D806" s="245"/>
      <c r="E806" s="245"/>
      <c r="F806" s="245"/>
      <c r="G806" s="245"/>
      <c r="H806" s="245"/>
      <c r="I806" s="244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</row>
    <row r="807">
      <c r="A807" s="245"/>
      <c r="B807" s="245"/>
      <c r="C807" s="245"/>
      <c r="D807" s="245"/>
      <c r="E807" s="245"/>
      <c r="F807" s="245"/>
      <c r="G807" s="245"/>
      <c r="H807" s="245"/>
      <c r="I807" s="244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</row>
    <row r="808">
      <c r="A808" s="245"/>
      <c r="B808" s="245"/>
      <c r="C808" s="245"/>
      <c r="D808" s="245"/>
      <c r="E808" s="245"/>
      <c r="F808" s="245"/>
      <c r="G808" s="245"/>
      <c r="H808" s="245"/>
      <c r="I808" s="244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</row>
    <row r="809">
      <c r="A809" s="245"/>
      <c r="B809" s="245"/>
      <c r="C809" s="245"/>
      <c r="D809" s="245"/>
      <c r="E809" s="245"/>
      <c r="F809" s="245"/>
      <c r="G809" s="245"/>
      <c r="H809" s="245"/>
      <c r="I809" s="244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</row>
    <row r="810">
      <c r="A810" s="245"/>
      <c r="B810" s="245"/>
      <c r="C810" s="245"/>
      <c r="D810" s="245"/>
      <c r="E810" s="245"/>
      <c r="F810" s="245"/>
      <c r="G810" s="245"/>
      <c r="H810" s="245"/>
      <c r="I810" s="244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</row>
    <row r="811">
      <c r="A811" s="245"/>
      <c r="B811" s="245"/>
      <c r="C811" s="245"/>
      <c r="D811" s="245"/>
      <c r="E811" s="245"/>
      <c r="F811" s="245"/>
      <c r="G811" s="245"/>
      <c r="H811" s="245"/>
      <c r="I811" s="244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</row>
    <row r="812">
      <c r="A812" s="245"/>
      <c r="B812" s="245"/>
      <c r="C812" s="245"/>
      <c r="D812" s="245"/>
      <c r="E812" s="245"/>
      <c r="F812" s="245"/>
      <c r="G812" s="245"/>
      <c r="H812" s="245"/>
      <c r="I812" s="244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</row>
    <row r="813">
      <c r="A813" s="245"/>
      <c r="B813" s="245"/>
      <c r="C813" s="245"/>
      <c r="D813" s="245"/>
      <c r="E813" s="245"/>
      <c r="F813" s="245"/>
      <c r="G813" s="245"/>
      <c r="H813" s="245"/>
      <c r="I813" s="244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</row>
    <row r="814">
      <c r="A814" s="245"/>
      <c r="B814" s="245"/>
      <c r="C814" s="245"/>
      <c r="D814" s="245"/>
      <c r="E814" s="245"/>
      <c r="F814" s="245"/>
      <c r="G814" s="245"/>
      <c r="H814" s="245"/>
      <c r="I814" s="244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</row>
    <row r="815">
      <c r="A815" s="245"/>
      <c r="B815" s="245"/>
      <c r="C815" s="245"/>
      <c r="D815" s="245"/>
      <c r="E815" s="245"/>
      <c r="F815" s="245"/>
      <c r="G815" s="245"/>
      <c r="H815" s="245"/>
      <c r="I815" s="244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</row>
    <row r="816">
      <c r="A816" s="245"/>
      <c r="B816" s="245"/>
      <c r="C816" s="245"/>
      <c r="D816" s="245"/>
      <c r="E816" s="245"/>
      <c r="F816" s="245"/>
      <c r="G816" s="245"/>
      <c r="H816" s="245"/>
      <c r="I816" s="244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</row>
    <row r="817">
      <c r="A817" s="245"/>
      <c r="B817" s="245"/>
      <c r="C817" s="245"/>
      <c r="D817" s="245"/>
      <c r="E817" s="245"/>
      <c r="F817" s="245"/>
      <c r="G817" s="245"/>
      <c r="H817" s="245"/>
      <c r="I817" s="244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</row>
    <row r="818">
      <c r="A818" s="245"/>
      <c r="B818" s="245"/>
      <c r="C818" s="245"/>
      <c r="D818" s="245"/>
      <c r="E818" s="245"/>
      <c r="F818" s="245"/>
      <c r="G818" s="245"/>
      <c r="H818" s="245"/>
      <c r="I818" s="244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</row>
    <row r="819">
      <c r="A819" s="245"/>
      <c r="B819" s="245"/>
      <c r="C819" s="245"/>
      <c r="D819" s="245"/>
      <c r="E819" s="245"/>
      <c r="F819" s="245"/>
      <c r="G819" s="245"/>
      <c r="H819" s="245"/>
      <c r="I819" s="244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</row>
    <row r="820">
      <c r="A820" s="245"/>
      <c r="B820" s="245"/>
      <c r="C820" s="245"/>
      <c r="D820" s="245"/>
      <c r="E820" s="245"/>
      <c r="F820" s="245"/>
      <c r="G820" s="245"/>
      <c r="H820" s="245"/>
      <c r="I820" s="244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</row>
    <row r="821">
      <c r="A821" s="245"/>
      <c r="B821" s="245"/>
      <c r="C821" s="245"/>
      <c r="D821" s="245"/>
      <c r="E821" s="245"/>
      <c r="F821" s="245"/>
      <c r="G821" s="245"/>
      <c r="H821" s="245"/>
      <c r="I821" s="244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</row>
    <row r="822">
      <c r="A822" s="245"/>
      <c r="B822" s="245"/>
      <c r="C822" s="245"/>
      <c r="D822" s="245"/>
      <c r="E822" s="245"/>
      <c r="F822" s="245"/>
      <c r="G822" s="245"/>
      <c r="H822" s="245"/>
      <c r="I822" s="244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</row>
    <row r="823">
      <c r="A823" s="245"/>
      <c r="B823" s="245"/>
      <c r="C823" s="245"/>
      <c r="D823" s="245"/>
      <c r="E823" s="245"/>
      <c r="F823" s="245"/>
      <c r="G823" s="245"/>
      <c r="H823" s="245"/>
      <c r="I823" s="244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</row>
    <row r="824">
      <c r="A824" s="245"/>
      <c r="B824" s="245"/>
      <c r="C824" s="245"/>
      <c r="D824" s="245"/>
      <c r="E824" s="245"/>
      <c r="F824" s="245"/>
      <c r="G824" s="245"/>
      <c r="H824" s="245"/>
      <c r="I824" s="244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</row>
    <row r="825">
      <c r="A825" s="245"/>
      <c r="B825" s="245"/>
      <c r="C825" s="245"/>
      <c r="D825" s="245"/>
      <c r="E825" s="245"/>
      <c r="F825" s="245"/>
      <c r="G825" s="245"/>
      <c r="H825" s="245"/>
      <c r="I825" s="244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</row>
    <row r="826">
      <c r="A826" s="245"/>
      <c r="B826" s="245"/>
      <c r="C826" s="245"/>
      <c r="D826" s="245"/>
      <c r="E826" s="245"/>
      <c r="F826" s="245"/>
      <c r="G826" s="245"/>
      <c r="H826" s="245"/>
      <c r="I826" s="244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</row>
    <row r="827">
      <c r="A827" s="245"/>
      <c r="B827" s="245"/>
      <c r="C827" s="245"/>
      <c r="D827" s="245"/>
      <c r="E827" s="245"/>
      <c r="F827" s="245"/>
      <c r="G827" s="245"/>
      <c r="H827" s="245"/>
      <c r="I827" s="244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</row>
    <row r="828">
      <c r="A828" s="245"/>
      <c r="B828" s="245"/>
      <c r="C828" s="245"/>
      <c r="D828" s="245"/>
      <c r="E828" s="245"/>
      <c r="F828" s="245"/>
      <c r="G828" s="245"/>
      <c r="H828" s="245"/>
      <c r="I828" s="244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</row>
    <row r="829">
      <c r="A829" s="245"/>
      <c r="B829" s="245"/>
      <c r="C829" s="245"/>
      <c r="D829" s="245"/>
      <c r="E829" s="245"/>
      <c r="F829" s="245"/>
      <c r="G829" s="245"/>
      <c r="H829" s="245"/>
      <c r="I829" s="244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</row>
    <row r="830">
      <c r="A830" s="245"/>
      <c r="B830" s="245"/>
      <c r="C830" s="245"/>
      <c r="D830" s="245"/>
      <c r="E830" s="245"/>
      <c r="F830" s="245"/>
      <c r="G830" s="245"/>
      <c r="H830" s="245"/>
      <c r="I830" s="244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</row>
    <row r="831">
      <c r="A831" s="245"/>
      <c r="B831" s="245"/>
      <c r="C831" s="245"/>
      <c r="D831" s="245"/>
      <c r="E831" s="245"/>
      <c r="F831" s="245"/>
      <c r="G831" s="245"/>
      <c r="H831" s="245"/>
      <c r="I831" s="244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</row>
    <row r="832">
      <c r="A832" s="245"/>
      <c r="B832" s="245"/>
      <c r="C832" s="245"/>
      <c r="D832" s="245"/>
      <c r="E832" s="245"/>
      <c r="F832" s="245"/>
      <c r="G832" s="245"/>
      <c r="H832" s="245"/>
      <c r="I832" s="244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</row>
    <row r="833">
      <c r="A833" s="245"/>
      <c r="B833" s="245"/>
      <c r="C833" s="245"/>
      <c r="D833" s="245"/>
      <c r="E833" s="245"/>
      <c r="F833" s="245"/>
      <c r="G833" s="245"/>
      <c r="H833" s="245"/>
      <c r="I833" s="244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</row>
    <row r="834">
      <c r="A834" s="245"/>
      <c r="B834" s="245"/>
      <c r="C834" s="245"/>
      <c r="D834" s="245"/>
      <c r="E834" s="245"/>
      <c r="F834" s="245"/>
      <c r="G834" s="245"/>
      <c r="H834" s="245"/>
      <c r="I834" s="244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</row>
    <row r="835">
      <c r="A835" s="245"/>
      <c r="B835" s="245"/>
      <c r="C835" s="245"/>
      <c r="D835" s="245"/>
      <c r="E835" s="245"/>
      <c r="F835" s="245"/>
      <c r="G835" s="245"/>
      <c r="H835" s="245"/>
      <c r="I835" s="244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</row>
    <row r="836">
      <c r="A836" s="245"/>
      <c r="B836" s="245"/>
      <c r="C836" s="245"/>
      <c r="D836" s="245"/>
      <c r="E836" s="245"/>
      <c r="F836" s="245"/>
      <c r="G836" s="245"/>
      <c r="H836" s="245"/>
      <c r="I836" s="244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</row>
    <row r="837">
      <c r="A837" s="245"/>
      <c r="B837" s="245"/>
      <c r="C837" s="245"/>
      <c r="D837" s="245"/>
      <c r="E837" s="245"/>
      <c r="F837" s="245"/>
      <c r="G837" s="245"/>
      <c r="H837" s="245"/>
      <c r="I837" s="244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</row>
    <row r="838">
      <c r="A838" s="245"/>
      <c r="B838" s="245"/>
      <c r="C838" s="245"/>
      <c r="D838" s="245"/>
      <c r="E838" s="245"/>
      <c r="F838" s="245"/>
      <c r="G838" s="245"/>
      <c r="H838" s="245"/>
      <c r="I838" s="244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</row>
    <row r="839">
      <c r="A839" s="245"/>
      <c r="B839" s="245"/>
      <c r="C839" s="245"/>
      <c r="D839" s="245"/>
      <c r="E839" s="245"/>
      <c r="F839" s="245"/>
      <c r="G839" s="245"/>
      <c r="H839" s="245"/>
      <c r="I839" s="244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</row>
    <row r="840">
      <c r="A840" s="245"/>
      <c r="B840" s="245"/>
      <c r="C840" s="245"/>
      <c r="D840" s="245"/>
      <c r="E840" s="245"/>
      <c r="F840" s="245"/>
      <c r="G840" s="245"/>
      <c r="H840" s="245"/>
      <c r="I840" s="244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</row>
    <row r="841">
      <c r="A841" s="245"/>
      <c r="B841" s="245"/>
      <c r="C841" s="245"/>
      <c r="D841" s="245"/>
      <c r="E841" s="245"/>
      <c r="F841" s="245"/>
      <c r="G841" s="245"/>
      <c r="H841" s="245"/>
      <c r="I841" s="244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</row>
    <row r="842">
      <c r="A842" s="245"/>
      <c r="B842" s="245"/>
      <c r="C842" s="245"/>
      <c r="D842" s="245"/>
      <c r="E842" s="245"/>
      <c r="F842" s="245"/>
      <c r="G842" s="245"/>
      <c r="H842" s="245"/>
      <c r="I842" s="244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</row>
    <row r="843">
      <c r="A843" s="245"/>
      <c r="B843" s="245"/>
      <c r="C843" s="245"/>
      <c r="D843" s="245"/>
      <c r="E843" s="245"/>
      <c r="F843" s="245"/>
      <c r="G843" s="245"/>
      <c r="H843" s="245"/>
      <c r="I843" s="244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</row>
    <row r="844">
      <c r="A844" s="245"/>
      <c r="B844" s="245"/>
      <c r="C844" s="245"/>
      <c r="D844" s="245"/>
      <c r="E844" s="245"/>
      <c r="F844" s="245"/>
      <c r="G844" s="245"/>
      <c r="H844" s="245"/>
      <c r="I844" s="244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</row>
    <row r="845">
      <c r="A845" s="245"/>
      <c r="B845" s="245"/>
      <c r="C845" s="245"/>
      <c r="D845" s="245"/>
      <c r="E845" s="245"/>
      <c r="F845" s="245"/>
      <c r="G845" s="245"/>
      <c r="H845" s="245"/>
      <c r="I845" s="244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</row>
    <row r="846">
      <c r="A846" s="245"/>
      <c r="B846" s="245"/>
      <c r="C846" s="245"/>
      <c r="D846" s="245"/>
      <c r="E846" s="245"/>
      <c r="F846" s="245"/>
      <c r="G846" s="245"/>
      <c r="H846" s="245"/>
      <c r="I846" s="244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</row>
    <row r="847">
      <c r="A847" s="245"/>
      <c r="B847" s="245"/>
      <c r="C847" s="245"/>
      <c r="D847" s="245"/>
      <c r="E847" s="245"/>
      <c r="F847" s="245"/>
      <c r="G847" s="245"/>
      <c r="H847" s="245"/>
      <c r="I847" s="244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</row>
    <row r="848">
      <c r="A848" s="245"/>
      <c r="B848" s="245"/>
      <c r="C848" s="245"/>
      <c r="D848" s="245"/>
      <c r="E848" s="245"/>
      <c r="F848" s="245"/>
      <c r="G848" s="245"/>
      <c r="H848" s="245"/>
      <c r="I848" s="244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</row>
    <row r="849">
      <c r="A849" s="245"/>
      <c r="B849" s="245"/>
      <c r="C849" s="245"/>
      <c r="D849" s="245"/>
      <c r="E849" s="245"/>
      <c r="F849" s="245"/>
      <c r="G849" s="245"/>
      <c r="H849" s="245"/>
      <c r="I849" s="244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</row>
    <row r="850">
      <c r="A850" s="245"/>
      <c r="B850" s="245"/>
      <c r="C850" s="245"/>
      <c r="D850" s="245"/>
      <c r="E850" s="245"/>
      <c r="F850" s="245"/>
      <c r="G850" s="245"/>
      <c r="H850" s="245"/>
      <c r="I850" s="244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</row>
    <row r="851">
      <c r="A851" s="245"/>
      <c r="B851" s="245"/>
      <c r="C851" s="245"/>
      <c r="D851" s="245"/>
      <c r="E851" s="245"/>
      <c r="F851" s="245"/>
      <c r="G851" s="245"/>
      <c r="H851" s="245"/>
      <c r="I851" s="244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</row>
    <row r="852">
      <c r="A852" s="245"/>
      <c r="B852" s="245"/>
      <c r="C852" s="245"/>
      <c r="D852" s="245"/>
      <c r="E852" s="245"/>
      <c r="F852" s="245"/>
      <c r="G852" s="245"/>
      <c r="H852" s="245"/>
      <c r="I852" s="244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</row>
    <row r="853">
      <c r="A853" s="245"/>
      <c r="B853" s="245"/>
      <c r="C853" s="245"/>
      <c r="D853" s="245"/>
      <c r="E853" s="245"/>
      <c r="F853" s="245"/>
      <c r="G853" s="245"/>
      <c r="H853" s="245"/>
      <c r="I853" s="244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</row>
    <row r="854">
      <c r="A854" s="245"/>
      <c r="B854" s="245"/>
      <c r="C854" s="245"/>
      <c r="D854" s="245"/>
      <c r="E854" s="245"/>
      <c r="F854" s="245"/>
      <c r="G854" s="245"/>
      <c r="H854" s="245"/>
      <c r="I854" s="244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</row>
    <row r="855">
      <c r="A855" s="245"/>
      <c r="B855" s="245"/>
      <c r="C855" s="245"/>
      <c r="D855" s="245"/>
      <c r="E855" s="245"/>
      <c r="F855" s="245"/>
      <c r="G855" s="245"/>
      <c r="H855" s="245"/>
      <c r="I855" s="244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</row>
    <row r="856">
      <c r="A856" s="245"/>
      <c r="B856" s="245"/>
      <c r="C856" s="245"/>
      <c r="D856" s="245"/>
      <c r="E856" s="245"/>
      <c r="F856" s="245"/>
      <c r="G856" s="245"/>
      <c r="H856" s="245"/>
      <c r="I856" s="244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</row>
    <row r="857">
      <c r="A857" s="245"/>
      <c r="B857" s="245"/>
      <c r="C857" s="245"/>
      <c r="D857" s="245"/>
      <c r="E857" s="245"/>
      <c r="F857" s="245"/>
      <c r="G857" s="245"/>
      <c r="H857" s="245"/>
      <c r="I857" s="244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</row>
    <row r="858">
      <c r="A858" s="245"/>
      <c r="B858" s="245"/>
      <c r="C858" s="245"/>
      <c r="D858" s="245"/>
      <c r="E858" s="245"/>
      <c r="F858" s="245"/>
      <c r="G858" s="245"/>
      <c r="H858" s="245"/>
      <c r="I858" s="244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</row>
    <row r="859">
      <c r="A859" s="245"/>
      <c r="B859" s="245"/>
      <c r="C859" s="245"/>
      <c r="D859" s="245"/>
      <c r="E859" s="245"/>
      <c r="F859" s="245"/>
      <c r="G859" s="245"/>
      <c r="H859" s="245"/>
      <c r="I859" s="244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</row>
    <row r="860">
      <c r="A860" s="245"/>
      <c r="B860" s="245"/>
      <c r="C860" s="245"/>
      <c r="D860" s="245"/>
      <c r="E860" s="245"/>
      <c r="F860" s="245"/>
      <c r="G860" s="245"/>
      <c r="H860" s="245"/>
      <c r="I860" s="244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</row>
    <row r="861">
      <c r="A861" s="245"/>
      <c r="B861" s="245"/>
      <c r="C861" s="245"/>
      <c r="D861" s="245"/>
      <c r="E861" s="245"/>
      <c r="F861" s="245"/>
      <c r="G861" s="245"/>
      <c r="H861" s="245"/>
      <c r="I861" s="244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</row>
    <row r="862">
      <c r="A862" s="245"/>
      <c r="B862" s="245"/>
      <c r="C862" s="245"/>
      <c r="D862" s="245"/>
      <c r="E862" s="245"/>
      <c r="F862" s="245"/>
      <c r="G862" s="245"/>
      <c r="H862" s="245"/>
      <c r="I862" s="244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</row>
    <row r="863">
      <c r="A863" s="245"/>
      <c r="B863" s="245"/>
      <c r="C863" s="245"/>
      <c r="D863" s="245"/>
      <c r="E863" s="245"/>
      <c r="F863" s="245"/>
      <c r="G863" s="245"/>
      <c r="H863" s="245"/>
      <c r="I863" s="244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</row>
    <row r="864">
      <c r="A864" s="245"/>
      <c r="B864" s="245"/>
      <c r="C864" s="245"/>
      <c r="D864" s="245"/>
      <c r="E864" s="245"/>
      <c r="F864" s="245"/>
      <c r="G864" s="245"/>
      <c r="H864" s="245"/>
      <c r="I864" s="244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</row>
    <row r="865">
      <c r="A865" s="245"/>
      <c r="B865" s="245"/>
      <c r="C865" s="245"/>
      <c r="D865" s="245"/>
      <c r="E865" s="245"/>
      <c r="F865" s="245"/>
      <c r="G865" s="245"/>
      <c r="H865" s="245"/>
      <c r="I865" s="244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</row>
    <row r="866">
      <c r="A866" s="245"/>
      <c r="B866" s="245"/>
      <c r="C866" s="245"/>
      <c r="D866" s="245"/>
      <c r="E866" s="245"/>
      <c r="F866" s="245"/>
      <c r="G866" s="245"/>
      <c r="H866" s="245"/>
      <c r="I866" s="244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</row>
    <row r="867">
      <c r="A867" s="245"/>
      <c r="B867" s="245"/>
      <c r="C867" s="245"/>
      <c r="D867" s="245"/>
      <c r="E867" s="245"/>
      <c r="F867" s="245"/>
      <c r="G867" s="245"/>
      <c r="H867" s="245"/>
      <c r="I867" s="244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</row>
    <row r="868">
      <c r="A868" s="245"/>
      <c r="B868" s="245"/>
      <c r="C868" s="245"/>
      <c r="D868" s="245"/>
      <c r="E868" s="245"/>
      <c r="F868" s="245"/>
      <c r="G868" s="245"/>
      <c r="H868" s="245"/>
      <c r="I868" s="244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</row>
    <row r="869">
      <c r="A869" s="245"/>
      <c r="B869" s="245"/>
      <c r="C869" s="245"/>
      <c r="D869" s="245"/>
      <c r="E869" s="245"/>
      <c r="F869" s="245"/>
      <c r="G869" s="245"/>
      <c r="H869" s="245"/>
      <c r="I869" s="244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</row>
    <row r="870">
      <c r="A870" s="245"/>
      <c r="B870" s="245"/>
      <c r="C870" s="245"/>
      <c r="D870" s="245"/>
      <c r="E870" s="245"/>
      <c r="F870" s="245"/>
      <c r="G870" s="245"/>
      <c r="H870" s="245"/>
      <c r="I870" s="244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</row>
    <row r="871">
      <c r="A871" s="245"/>
      <c r="B871" s="245"/>
      <c r="C871" s="245"/>
      <c r="D871" s="245"/>
      <c r="E871" s="245"/>
      <c r="F871" s="245"/>
      <c r="G871" s="245"/>
      <c r="H871" s="245"/>
      <c r="I871" s="244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</row>
    <row r="872">
      <c r="A872" s="245"/>
      <c r="B872" s="245"/>
      <c r="C872" s="245"/>
      <c r="D872" s="245"/>
      <c r="E872" s="245"/>
      <c r="F872" s="245"/>
      <c r="G872" s="245"/>
      <c r="H872" s="245"/>
      <c r="I872" s="244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</row>
    <row r="873">
      <c r="A873" s="245"/>
      <c r="B873" s="245"/>
      <c r="C873" s="245"/>
      <c r="D873" s="245"/>
      <c r="E873" s="245"/>
      <c r="F873" s="245"/>
      <c r="G873" s="245"/>
      <c r="H873" s="245"/>
      <c r="I873" s="244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</row>
    <row r="874">
      <c r="A874" s="245"/>
      <c r="B874" s="245"/>
      <c r="C874" s="245"/>
      <c r="D874" s="245"/>
      <c r="E874" s="245"/>
      <c r="F874" s="245"/>
      <c r="G874" s="245"/>
      <c r="H874" s="245"/>
      <c r="I874" s="244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</row>
    <row r="875">
      <c r="A875" s="245"/>
      <c r="B875" s="245"/>
      <c r="C875" s="245"/>
      <c r="D875" s="245"/>
      <c r="E875" s="245"/>
      <c r="F875" s="245"/>
      <c r="G875" s="245"/>
      <c r="H875" s="245"/>
      <c r="I875" s="244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</row>
    <row r="876">
      <c r="A876" s="245"/>
      <c r="B876" s="245"/>
      <c r="C876" s="245"/>
      <c r="D876" s="245"/>
      <c r="E876" s="245"/>
      <c r="F876" s="245"/>
      <c r="G876" s="245"/>
      <c r="H876" s="245"/>
      <c r="I876" s="244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</row>
    <row r="877">
      <c r="A877" s="245"/>
      <c r="B877" s="245"/>
      <c r="C877" s="245"/>
      <c r="D877" s="245"/>
      <c r="E877" s="245"/>
      <c r="F877" s="245"/>
      <c r="G877" s="245"/>
      <c r="H877" s="245"/>
      <c r="I877" s="244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</row>
    <row r="878">
      <c r="A878" s="245"/>
      <c r="B878" s="245"/>
      <c r="C878" s="245"/>
      <c r="D878" s="245"/>
      <c r="E878" s="245"/>
      <c r="F878" s="245"/>
      <c r="G878" s="245"/>
      <c r="H878" s="245"/>
      <c r="I878" s="244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</row>
    <row r="879">
      <c r="A879" s="245"/>
      <c r="B879" s="245"/>
      <c r="C879" s="245"/>
      <c r="D879" s="245"/>
      <c r="E879" s="245"/>
      <c r="F879" s="245"/>
      <c r="G879" s="245"/>
      <c r="H879" s="245"/>
      <c r="I879" s="244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</row>
    <row r="880">
      <c r="A880" s="245"/>
      <c r="B880" s="245"/>
      <c r="C880" s="245"/>
      <c r="D880" s="245"/>
      <c r="E880" s="245"/>
      <c r="F880" s="245"/>
      <c r="G880" s="245"/>
      <c r="H880" s="245"/>
      <c r="I880" s="244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</row>
    <row r="881">
      <c r="A881" s="245"/>
      <c r="B881" s="245"/>
      <c r="C881" s="245"/>
      <c r="D881" s="245"/>
      <c r="E881" s="245"/>
      <c r="F881" s="245"/>
      <c r="G881" s="245"/>
      <c r="H881" s="245"/>
      <c r="I881" s="244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</row>
    <row r="882">
      <c r="A882" s="245"/>
      <c r="B882" s="245"/>
      <c r="C882" s="245"/>
      <c r="D882" s="245"/>
      <c r="E882" s="245"/>
      <c r="F882" s="245"/>
      <c r="G882" s="245"/>
      <c r="H882" s="245"/>
      <c r="I882" s="244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</row>
    <row r="883">
      <c r="A883" s="245"/>
      <c r="B883" s="245"/>
      <c r="C883" s="245"/>
      <c r="D883" s="245"/>
      <c r="E883" s="245"/>
      <c r="F883" s="245"/>
      <c r="G883" s="245"/>
      <c r="H883" s="245"/>
      <c r="I883" s="244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</row>
    <row r="884">
      <c r="A884" s="245"/>
      <c r="B884" s="245"/>
      <c r="C884" s="245"/>
      <c r="D884" s="245"/>
      <c r="E884" s="245"/>
      <c r="F884" s="245"/>
      <c r="G884" s="245"/>
      <c r="H884" s="245"/>
      <c r="I884" s="244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</row>
    <row r="885">
      <c r="A885" s="245"/>
      <c r="B885" s="245"/>
      <c r="C885" s="245"/>
      <c r="D885" s="245"/>
      <c r="E885" s="245"/>
      <c r="F885" s="245"/>
      <c r="G885" s="245"/>
      <c r="H885" s="245"/>
      <c r="I885" s="244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</row>
    <row r="886">
      <c r="A886" s="245"/>
      <c r="B886" s="245"/>
      <c r="C886" s="245"/>
      <c r="D886" s="245"/>
      <c r="E886" s="245"/>
      <c r="F886" s="245"/>
      <c r="G886" s="245"/>
      <c r="H886" s="245"/>
      <c r="I886" s="244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</row>
    <row r="887">
      <c r="A887" s="245"/>
      <c r="B887" s="245"/>
      <c r="C887" s="245"/>
      <c r="D887" s="245"/>
      <c r="E887" s="245"/>
      <c r="F887" s="245"/>
      <c r="G887" s="245"/>
      <c r="H887" s="245"/>
      <c r="I887" s="244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</row>
    <row r="888">
      <c r="A888" s="245"/>
      <c r="B888" s="245"/>
      <c r="C888" s="245"/>
      <c r="D888" s="245"/>
      <c r="E888" s="245"/>
      <c r="F888" s="245"/>
      <c r="G888" s="245"/>
      <c r="H888" s="245"/>
      <c r="I888" s="244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</row>
    <row r="889">
      <c r="A889" s="245"/>
      <c r="B889" s="245"/>
      <c r="C889" s="245"/>
      <c r="D889" s="245"/>
      <c r="E889" s="245"/>
      <c r="F889" s="245"/>
      <c r="G889" s="245"/>
      <c r="H889" s="245"/>
      <c r="I889" s="244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</row>
    <row r="890">
      <c r="A890" s="245"/>
      <c r="B890" s="245"/>
      <c r="C890" s="245"/>
      <c r="D890" s="245"/>
      <c r="E890" s="245"/>
      <c r="F890" s="245"/>
      <c r="G890" s="245"/>
      <c r="H890" s="245"/>
      <c r="I890" s="244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</row>
    <row r="891">
      <c r="A891" s="245"/>
      <c r="B891" s="245"/>
      <c r="C891" s="245"/>
      <c r="D891" s="245"/>
      <c r="E891" s="245"/>
      <c r="F891" s="245"/>
      <c r="G891" s="245"/>
      <c r="H891" s="245"/>
      <c r="I891" s="244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</row>
    <row r="892">
      <c r="A892" s="245"/>
      <c r="B892" s="245"/>
      <c r="C892" s="245"/>
      <c r="D892" s="245"/>
      <c r="E892" s="245"/>
      <c r="F892" s="245"/>
      <c r="G892" s="245"/>
      <c r="H892" s="245"/>
      <c r="I892" s="244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</row>
    <row r="893">
      <c r="A893" s="245"/>
      <c r="B893" s="245"/>
      <c r="C893" s="245"/>
      <c r="D893" s="245"/>
      <c r="E893" s="245"/>
      <c r="F893" s="245"/>
      <c r="G893" s="245"/>
      <c r="H893" s="245"/>
      <c r="I893" s="244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</row>
    <row r="894">
      <c r="A894" s="245"/>
      <c r="B894" s="245"/>
      <c r="C894" s="245"/>
      <c r="D894" s="245"/>
      <c r="E894" s="245"/>
      <c r="F894" s="245"/>
      <c r="G894" s="245"/>
      <c r="H894" s="245"/>
      <c r="I894" s="244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</row>
    <row r="895">
      <c r="A895" s="245"/>
      <c r="B895" s="245"/>
      <c r="C895" s="245"/>
      <c r="D895" s="245"/>
      <c r="E895" s="245"/>
      <c r="F895" s="245"/>
      <c r="G895" s="245"/>
      <c r="H895" s="245"/>
      <c r="I895" s="244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</row>
    <row r="896">
      <c r="A896" s="245"/>
      <c r="B896" s="245"/>
      <c r="C896" s="245"/>
      <c r="D896" s="245"/>
      <c r="E896" s="245"/>
      <c r="F896" s="245"/>
      <c r="G896" s="245"/>
      <c r="H896" s="245"/>
      <c r="I896" s="244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</row>
    <row r="897">
      <c r="A897" s="245"/>
      <c r="B897" s="245"/>
      <c r="C897" s="245"/>
      <c r="D897" s="245"/>
      <c r="E897" s="245"/>
      <c r="F897" s="245"/>
      <c r="G897" s="245"/>
      <c r="H897" s="245"/>
      <c r="I897" s="244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</row>
    <row r="898">
      <c r="A898" s="245"/>
      <c r="B898" s="245"/>
      <c r="C898" s="245"/>
      <c r="D898" s="245"/>
      <c r="E898" s="245"/>
      <c r="F898" s="245"/>
      <c r="G898" s="245"/>
      <c r="H898" s="245"/>
      <c r="I898" s="244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</row>
    <row r="899">
      <c r="A899" s="245"/>
      <c r="B899" s="245"/>
      <c r="C899" s="245"/>
      <c r="D899" s="245"/>
      <c r="E899" s="245"/>
      <c r="F899" s="245"/>
      <c r="G899" s="245"/>
      <c r="H899" s="245"/>
      <c r="I899" s="244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</row>
    <row r="900">
      <c r="A900" s="245"/>
      <c r="B900" s="245"/>
      <c r="C900" s="245"/>
      <c r="D900" s="245"/>
      <c r="E900" s="245"/>
      <c r="F900" s="245"/>
      <c r="G900" s="245"/>
      <c r="H900" s="245"/>
      <c r="I900" s="244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</row>
    <row r="901">
      <c r="A901" s="245"/>
      <c r="B901" s="245"/>
      <c r="C901" s="245"/>
      <c r="D901" s="245"/>
      <c r="E901" s="245"/>
      <c r="F901" s="245"/>
      <c r="G901" s="245"/>
      <c r="H901" s="245"/>
      <c r="I901" s="244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</row>
    <row r="902">
      <c r="A902" s="245"/>
      <c r="B902" s="245"/>
      <c r="C902" s="245"/>
      <c r="D902" s="245"/>
      <c r="E902" s="245"/>
      <c r="F902" s="245"/>
      <c r="G902" s="245"/>
      <c r="H902" s="245"/>
      <c r="I902" s="244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</row>
    <row r="903">
      <c r="A903" s="245"/>
      <c r="B903" s="245"/>
      <c r="C903" s="245"/>
      <c r="D903" s="245"/>
      <c r="E903" s="245"/>
      <c r="F903" s="245"/>
      <c r="G903" s="245"/>
      <c r="H903" s="245"/>
      <c r="I903" s="244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</row>
    <row r="904">
      <c r="A904" s="245"/>
      <c r="B904" s="245"/>
      <c r="C904" s="245"/>
      <c r="D904" s="245"/>
      <c r="E904" s="245"/>
      <c r="F904" s="245"/>
      <c r="G904" s="245"/>
      <c r="H904" s="245"/>
      <c r="I904" s="244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</row>
    <row r="905">
      <c r="A905" s="245"/>
      <c r="B905" s="245"/>
      <c r="C905" s="245"/>
      <c r="D905" s="245"/>
      <c r="E905" s="245"/>
      <c r="F905" s="245"/>
      <c r="G905" s="245"/>
      <c r="H905" s="245"/>
      <c r="I905" s="244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</row>
    <row r="906">
      <c r="A906" s="245"/>
      <c r="B906" s="245"/>
      <c r="C906" s="245"/>
      <c r="D906" s="245"/>
      <c r="E906" s="245"/>
      <c r="F906" s="245"/>
      <c r="G906" s="245"/>
      <c r="H906" s="245"/>
      <c r="I906" s="244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</row>
    <row r="907">
      <c r="A907" s="245"/>
      <c r="B907" s="245"/>
      <c r="C907" s="245"/>
      <c r="D907" s="245"/>
      <c r="E907" s="245"/>
      <c r="F907" s="245"/>
      <c r="G907" s="245"/>
      <c r="H907" s="245"/>
      <c r="I907" s="244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</row>
    <row r="908">
      <c r="A908" s="245"/>
      <c r="B908" s="245"/>
      <c r="C908" s="245"/>
      <c r="D908" s="245"/>
      <c r="E908" s="245"/>
      <c r="F908" s="245"/>
      <c r="G908" s="245"/>
      <c r="H908" s="245"/>
      <c r="I908" s="244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</row>
    <row r="909">
      <c r="A909" s="245"/>
      <c r="B909" s="245"/>
      <c r="C909" s="245"/>
      <c r="D909" s="245"/>
      <c r="E909" s="245"/>
      <c r="F909" s="245"/>
      <c r="G909" s="245"/>
      <c r="H909" s="245"/>
      <c r="I909" s="244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</row>
    <row r="910">
      <c r="A910" s="245"/>
      <c r="B910" s="245"/>
      <c r="C910" s="245"/>
      <c r="D910" s="245"/>
      <c r="E910" s="245"/>
      <c r="F910" s="245"/>
      <c r="G910" s="245"/>
      <c r="H910" s="245"/>
      <c r="I910" s="244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</row>
    <row r="911">
      <c r="A911" s="245"/>
      <c r="B911" s="245"/>
      <c r="C911" s="245"/>
      <c r="D911" s="245"/>
      <c r="E911" s="245"/>
      <c r="F911" s="245"/>
      <c r="G911" s="245"/>
      <c r="H911" s="245"/>
      <c r="I911" s="244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</row>
    <row r="912">
      <c r="A912" s="245"/>
      <c r="B912" s="245"/>
      <c r="C912" s="245"/>
      <c r="D912" s="245"/>
      <c r="E912" s="245"/>
      <c r="F912" s="245"/>
      <c r="G912" s="245"/>
      <c r="H912" s="245"/>
      <c r="I912" s="244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</row>
    <row r="913">
      <c r="A913" s="245"/>
      <c r="B913" s="245"/>
      <c r="C913" s="245"/>
      <c r="D913" s="245"/>
      <c r="E913" s="245"/>
      <c r="F913" s="245"/>
      <c r="G913" s="245"/>
      <c r="H913" s="245"/>
      <c r="I913" s="244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</row>
    <row r="914">
      <c r="A914" s="245"/>
      <c r="B914" s="245"/>
      <c r="C914" s="245"/>
      <c r="D914" s="245"/>
      <c r="E914" s="245"/>
      <c r="F914" s="245"/>
      <c r="G914" s="245"/>
      <c r="H914" s="245"/>
      <c r="I914" s="244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</row>
    <row r="915">
      <c r="A915" s="245"/>
      <c r="B915" s="245"/>
      <c r="C915" s="245"/>
      <c r="D915" s="245"/>
      <c r="E915" s="245"/>
      <c r="F915" s="245"/>
      <c r="G915" s="245"/>
      <c r="H915" s="245"/>
      <c r="I915" s="244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</row>
    <row r="916">
      <c r="A916" s="245"/>
      <c r="B916" s="245"/>
      <c r="C916" s="245"/>
      <c r="D916" s="245"/>
      <c r="E916" s="245"/>
      <c r="F916" s="245"/>
      <c r="G916" s="245"/>
      <c r="H916" s="245"/>
      <c r="I916" s="244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</row>
    <row r="917">
      <c r="A917" s="245"/>
      <c r="B917" s="245"/>
      <c r="C917" s="245"/>
      <c r="D917" s="245"/>
      <c r="E917" s="245"/>
      <c r="F917" s="245"/>
      <c r="G917" s="245"/>
      <c r="H917" s="245"/>
      <c r="I917" s="244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</row>
    <row r="918">
      <c r="A918" s="245"/>
      <c r="B918" s="245"/>
      <c r="C918" s="245"/>
      <c r="D918" s="245"/>
      <c r="E918" s="245"/>
      <c r="F918" s="245"/>
      <c r="G918" s="245"/>
      <c r="H918" s="245"/>
      <c r="I918" s="244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</row>
    <row r="919">
      <c r="A919" s="245"/>
      <c r="B919" s="245"/>
      <c r="C919" s="245"/>
      <c r="D919" s="245"/>
      <c r="E919" s="245"/>
      <c r="F919" s="245"/>
      <c r="G919" s="245"/>
      <c r="H919" s="245"/>
      <c r="I919" s="244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</row>
    <row r="920">
      <c r="A920" s="245"/>
      <c r="B920" s="245"/>
      <c r="C920" s="245"/>
      <c r="D920" s="245"/>
      <c r="E920" s="245"/>
      <c r="F920" s="245"/>
      <c r="G920" s="245"/>
      <c r="H920" s="245"/>
      <c r="I920" s="244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</row>
    <row r="921">
      <c r="A921" s="245"/>
      <c r="B921" s="245"/>
      <c r="C921" s="245"/>
      <c r="D921" s="245"/>
      <c r="E921" s="245"/>
      <c r="F921" s="245"/>
      <c r="G921" s="245"/>
      <c r="H921" s="245"/>
      <c r="I921" s="244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</row>
    <row r="922">
      <c r="A922" s="245"/>
      <c r="B922" s="245"/>
      <c r="C922" s="245"/>
      <c r="D922" s="245"/>
      <c r="E922" s="245"/>
      <c r="F922" s="245"/>
      <c r="G922" s="245"/>
      <c r="H922" s="245"/>
      <c r="I922" s="244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</row>
    <row r="923">
      <c r="A923" s="245"/>
      <c r="B923" s="245"/>
      <c r="C923" s="245"/>
      <c r="D923" s="245"/>
      <c r="E923" s="245"/>
      <c r="F923" s="245"/>
      <c r="G923" s="245"/>
      <c r="H923" s="245"/>
      <c r="I923" s="244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</row>
    <row r="924">
      <c r="A924" s="245"/>
      <c r="B924" s="245"/>
      <c r="C924" s="245"/>
      <c r="D924" s="245"/>
      <c r="E924" s="245"/>
      <c r="F924" s="245"/>
      <c r="G924" s="245"/>
      <c r="H924" s="245"/>
      <c r="I924" s="244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</row>
    <row r="925">
      <c r="A925" s="245"/>
      <c r="B925" s="245"/>
      <c r="C925" s="245"/>
      <c r="D925" s="245"/>
      <c r="E925" s="245"/>
      <c r="F925" s="245"/>
      <c r="G925" s="245"/>
      <c r="H925" s="245"/>
      <c r="I925" s="244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</row>
    <row r="926">
      <c r="A926" s="245"/>
      <c r="B926" s="245"/>
      <c r="C926" s="245"/>
      <c r="D926" s="245"/>
      <c r="E926" s="245"/>
      <c r="F926" s="245"/>
      <c r="G926" s="245"/>
      <c r="H926" s="245"/>
      <c r="I926" s="244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</row>
    <row r="927">
      <c r="A927" s="245"/>
      <c r="B927" s="245"/>
      <c r="C927" s="245"/>
      <c r="D927" s="245"/>
      <c r="E927" s="245"/>
      <c r="F927" s="245"/>
      <c r="G927" s="245"/>
      <c r="H927" s="245"/>
      <c r="I927" s="244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</row>
    <row r="928">
      <c r="A928" s="245"/>
      <c r="B928" s="245"/>
      <c r="C928" s="245"/>
      <c r="D928" s="245"/>
      <c r="E928" s="245"/>
      <c r="F928" s="245"/>
      <c r="G928" s="245"/>
      <c r="H928" s="245"/>
      <c r="I928" s="244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</row>
    <row r="929">
      <c r="A929" s="245"/>
      <c r="B929" s="245"/>
      <c r="C929" s="245"/>
      <c r="D929" s="245"/>
      <c r="E929" s="245"/>
      <c r="F929" s="245"/>
      <c r="G929" s="245"/>
      <c r="H929" s="245"/>
      <c r="I929" s="244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</row>
    <row r="930">
      <c r="A930" s="245"/>
      <c r="B930" s="245"/>
      <c r="C930" s="245"/>
      <c r="D930" s="245"/>
      <c r="E930" s="245"/>
      <c r="F930" s="245"/>
      <c r="G930" s="245"/>
      <c r="H930" s="245"/>
      <c r="I930" s="244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</row>
    <row r="931">
      <c r="A931" s="245"/>
      <c r="B931" s="245"/>
      <c r="C931" s="245"/>
      <c r="D931" s="245"/>
      <c r="E931" s="245"/>
      <c r="F931" s="245"/>
      <c r="G931" s="245"/>
      <c r="H931" s="245"/>
      <c r="I931" s="244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</row>
    <row r="932">
      <c r="A932" s="245"/>
      <c r="B932" s="245"/>
      <c r="C932" s="245"/>
      <c r="D932" s="245"/>
      <c r="E932" s="245"/>
      <c r="F932" s="245"/>
      <c r="G932" s="245"/>
      <c r="H932" s="245"/>
      <c r="I932" s="244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</row>
    <row r="933">
      <c r="A933" s="245"/>
      <c r="B933" s="245"/>
      <c r="C933" s="245"/>
      <c r="D933" s="245"/>
      <c r="E933" s="245"/>
      <c r="F933" s="245"/>
      <c r="G933" s="245"/>
      <c r="H933" s="245"/>
      <c r="I933" s="244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</row>
    <row r="934">
      <c r="A934" s="245"/>
      <c r="B934" s="245"/>
      <c r="C934" s="245"/>
      <c r="D934" s="245"/>
      <c r="E934" s="245"/>
      <c r="F934" s="245"/>
      <c r="G934" s="245"/>
      <c r="H934" s="245"/>
      <c r="I934" s="244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</row>
    <row r="935">
      <c r="A935" s="245"/>
      <c r="B935" s="245"/>
      <c r="C935" s="245"/>
      <c r="D935" s="245"/>
      <c r="E935" s="245"/>
      <c r="F935" s="245"/>
      <c r="G935" s="245"/>
      <c r="H935" s="245"/>
      <c r="I935" s="244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</row>
    <row r="936">
      <c r="A936" s="245"/>
      <c r="B936" s="245"/>
      <c r="C936" s="245"/>
      <c r="D936" s="245"/>
      <c r="E936" s="245"/>
      <c r="F936" s="245"/>
      <c r="G936" s="245"/>
      <c r="H936" s="245"/>
      <c r="I936" s="244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</row>
    <row r="937">
      <c r="A937" s="245"/>
      <c r="B937" s="245"/>
      <c r="C937" s="245"/>
      <c r="D937" s="245"/>
      <c r="E937" s="245"/>
      <c r="F937" s="245"/>
      <c r="G937" s="245"/>
      <c r="H937" s="245"/>
      <c r="I937" s="244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</row>
    <row r="938">
      <c r="A938" s="245"/>
      <c r="B938" s="245"/>
      <c r="C938" s="245"/>
      <c r="D938" s="245"/>
      <c r="E938" s="245"/>
      <c r="F938" s="245"/>
      <c r="G938" s="245"/>
      <c r="H938" s="245"/>
      <c r="I938" s="244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</row>
    <row r="939">
      <c r="A939" s="245"/>
      <c r="B939" s="245"/>
      <c r="C939" s="245"/>
      <c r="D939" s="245"/>
      <c r="E939" s="245"/>
      <c r="F939" s="245"/>
      <c r="G939" s="245"/>
      <c r="H939" s="245"/>
      <c r="I939" s="244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</row>
    <row r="940">
      <c r="A940" s="245"/>
      <c r="B940" s="245"/>
      <c r="C940" s="245"/>
      <c r="D940" s="245"/>
      <c r="E940" s="245"/>
      <c r="F940" s="245"/>
      <c r="G940" s="245"/>
      <c r="H940" s="245"/>
      <c r="I940" s="244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</row>
    <row r="941">
      <c r="A941" s="245"/>
      <c r="B941" s="245"/>
      <c r="C941" s="245"/>
      <c r="D941" s="245"/>
      <c r="E941" s="245"/>
      <c r="F941" s="245"/>
      <c r="G941" s="245"/>
      <c r="H941" s="245"/>
      <c r="I941" s="244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</row>
    <row r="942">
      <c r="A942" s="245"/>
      <c r="B942" s="245"/>
      <c r="C942" s="245"/>
      <c r="D942" s="245"/>
      <c r="E942" s="245"/>
      <c r="F942" s="245"/>
      <c r="G942" s="245"/>
      <c r="H942" s="245"/>
      <c r="I942" s="244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</row>
    <row r="943">
      <c r="A943" s="245"/>
      <c r="B943" s="245"/>
      <c r="C943" s="245"/>
      <c r="D943" s="245"/>
      <c r="E943" s="245"/>
      <c r="F943" s="245"/>
      <c r="G943" s="245"/>
      <c r="H943" s="245"/>
      <c r="I943" s="244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</row>
    <row r="944">
      <c r="A944" s="245"/>
      <c r="B944" s="245"/>
      <c r="C944" s="245"/>
      <c r="D944" s="245"/>
      <c r="E944" s="245"/>
      <c r="F944" s="245"/>
      <c r="G944" s="245"/>
      <c r="H944" s="245"/>
      <c r="I944" s="244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</row>
    <row r="945">
      <c r="A945" s="245"/>
      <c r="B945" s="245"/>
      <c r="C945" s="245"/>
      <c r="D945" s="245"/>
      <c r="E945" s="245"/>
      <c r="F945" s="245"/>
      <c r="G945" s="245"/>
      <c r="H945" s="245"/>
      <c r="I945" s="244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</row>
    <row r="946">
      <c r="A946" s="245"/>
      <c r="B946" s="245"/>
      <c r="C946" s="245"/>
      <c r="D946" s="245"/>
      <c r="E946" s="245"/>
      <c r="F946" s="245"/>
      <c r="G946" s="245"/>
      <c r="H946" s="245"/>
      <c r="I946" s="244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</row>
    <row r="947">
      <c r="A947" s="245"/>
      <c r="B947" s="245"/>
      <c r="C947" s="245"/>
      <c r="D947" s="245"/>
      <c r="E947" s="245"/>
      <c r="F947" s="245"/>
      <c r="G947" s="245"/>
      <c r="H947" s="245"/>
      <c r="I947" s="244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</row>
    <row r="948">
      <c r="A948" s="245"/>
      <c r="B948" s="245"/>
      <c r="C948" s="245"/>
      <c r="D948" s="245"/>
      <c r="E948" s="245"/>
      <c r="F948" s="245"/>
      <c r="G948" s="245"/>
      <c r="H948" s="245"/>
      <c r="I948" s="244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</row>
    <row r="949">
      <c r="A949" s="245"/>
      <c r="B949" s="245"/>
      <c r="C949" s="245"/>
      <c r="D949" s="245"/>
      <c r="E949" s="245"/>
      <c r="F949" s="245"/>
      <c r="G949" s="245"/>
      <c r="H949" s="245"/>
      <c r="I949" s="244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</row>
    <row r="950">
      <c r="A950" s="245"/>
      <c r="B950" s="245"/>
      <c r="C950" s="245"/>
      <c r="D950" s="245"/>
      <c r="E950" s="245"/>
      <c r="F950" s="245"/>
      <c r="G950" s="245"/>
      <c r="H950" s="245"/>
      <c r="I950" s="244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</row>
    <row r="951">
      <c r="A951" s="245"/>
      <c r="B951" s="245"/>
      <c r="C951" s="245"/>
      <c r="D951" s="245"/>
      <c r="E951" s="245"/>
      <c r="F951" s="245"/>
      <c r="G951" s="245"/>
      <c r="H951" s="245"/>
      <c r="I951" s="244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</row>
    <row r="952">
      <c r="A952" s="245"/>
      <c r="B952" s="245"/>
      <c r="C952" s="245"/>
      <c r="D952" s="245"/>
      <c r="E952" s="245"/>
      <c r="F952" s="245"/>
      <c r="G952" s="245"/>
      <c r="H952" s="245"/>
      <c r="I952" s="244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</row>
    <row r="953">
      <c r="A953" s="245"/>
      <c r="B953" s="245"/>
      <c r="C953" s="245"/>
      <c r="D953" s="245"/>
      <c r="E953" s="245"/>
      <c r="F953" s="245"/>
      <c r="G953" s="245"/>
      <c r="H953" s="245"/>
      <c r="I953" s="244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</row>
    <row r="954">
      <c r="A954" s="245"/>
      <c r="B954" s="245"/>
      <c r="C954" s="245"/>
      <c r="D954" s="245"/>
      <c r="E954" s="245"/>
      <c r="F954" s="245"/>
      <c r="G954" s="245"/>
      <c r="H954" s="245"/>
      <c r="I954" s="244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</row>
    <row r="955">
      <c r="A955" s="245"/>
      <c r="B955" s="245"/>
      <c r="C955" s="245"/>
      <c r="D955" s="245"/>
      <c r="E955" s="245"/>
      <c r="F955" s="245"/>
      <c r="G955" s="245"/>
      <c r="H955" s="245"/>
      <c r="I955" s="244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</row>
    <row r="956">
      <c r="A956" s="245"/>
      <c r="B956" s="245"/>
      <c r="C956" s="245"/>
      <c r="D956" s="245"/>
      <c r="E956" s="245"/>
      <c r="F956" s="245"/>
      <c r="G956" s="245"/>
      <c r="H956" s="245"/>
      <c r="I956" s="244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</row>
    <row r="957">
      <c r="A957" s="245"/>
      <c r="B957" s="245"/>
      <c r="C957" s="245"/>
      <c r="D957" s="245"/>
      <c r="E957" s="245"/>
      <c r="F957" s="245"/>
      <c r="G957" s="245"/>
      <c r="H957" s="245"/>
      <c r="I957" s="244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</row>
    <row r="958">
      <c r="A958" s="245"/>
      <c r="B958" s="245"/>
      <c r="C958" s="245"/>
      <c r="D958" s="245"/>
      <c r="E958" s="245"/>
      <c r="F958" s="245"/>
      <c r="G958" s="245"/>
      <c r="H958" s="245"/>
      <c r="I958" s="244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</row>
    <row r="959">
      <c r="A959" s="245"/>
      <c r="B959" s="245"/>
      <c r="C959" s="245"/>
      <c r="D959" s="245"/>
      <c r="E959" s="245"/>
      <c r="F959" s="245"/>
      <c r="G959" s="245"/>
      <c r="H959" s="245"/>
      <c r="I959" s="244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</row>
    <row r="960">
      <c r="A960" s="245"/>
      <c r="B960" s="245"/>
      <c r="C960" s="245"/>
      <c r="D960" s="245"/>
      <c r="E960" s="245"/>
      <c r="F960" s="245"/>
      <c r="G960" s="245"/>
      <c r="H960" s="245"/>
      <c r="I960" s="244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</row>
    <row r="961">
      <c r="A961" s="245"/>
      <c r="B961" s="245"/>
      <c r="C961" s="245"/>
      <c r="D961" s="245"/>
      <c r="E961" s="245"/>
      <c r="F961" s="245"/>
      <c r="G961" s="245"/>
      <c r="H961" s="245"/>
      <c r="I961" s="244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</row>
    <row r="962">
      <c r="A962" s="245"/>
      <c r="B962" s="245"/>
      <c r="C962" s="245"/>
      <c r="D962" s="245"/>
      <c r="E962" s="245"/>
      <c r="F962" s="245"/>
      <c r="G962" s="245"/>
      <c r="H962" s="245"/>
      <c r="I962" s="244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</row>
    <row r="963">
      <c r="A963" s="245"/>
      <c r="B963" s="245"/>
      <c r="C963" s="245"/>
      <c r="D963" s="245"/>
      <c r="E963" s="245"/>
      <c r="F963" s="245"/>
      <c r="G963" s="245"/>
      <c r="H963" s="245"/>
      <c r="I963" s="244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</row>
    <row r="964">
      <c r="A964" s="245"/>
      <c r="B964" s="245"/>
      <c r="C964" s="245"/>
      <c r="D964" s="245"/>
      <c r="E964" s="245"/>
      <c r="F964" s="245"/>
      <c r="G964" s="245"/>
      <c r="H964" s="245"/>
      <c r="I964" s="244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</row>
    <row r="965">
      <c r="A965" s="245"/>
      <c r="B965" s="245"/>
      <c r="C965" s="245"/>
      <c r="D965" s="245"/>
      <c r="E965" s="245"/>
      <c r="F965" s="245"/>
      <c r="G965" s="245"/>
      <c r="H965" s="245"/>
      <c r="I965" s="244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</row>
    <row r="966">
      <c r="A966" s="245"/>
      <c r="B966" s="245"/>
      <c r="C966" s="245"/>
      <c r="D966" s="245"/>
      <c r="E966" s="245"/>
      <c r="F966" s="245"/>
      <c r="G966" s="245"/>
      <c r="H966" s="245"/>
      <c r="I966" s="244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</row>
    <row r="967">
      <c r="A967" s="245"/>
      <c r="B967" s="245"/>
      <c r="C967" s="245"/>
      <c r="D967" s="245"/>
      <c r="E967" s="245"/>
      <c r="F967" s="245"/>
      <c r="G967" s="245"/>
      <c r="H967" s="245"/>
      <c r="I967" s="244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</row>
    <row r="968">
      <c r="A968" s="245"/>
      <c r="B968" s="245"/>
      <c r="C968" s="245"/>
      <c r="D968" s="245"/>
      <c r="E968" s="245"/>
      <c r="F968" s="245"/>
      <c r="G968" s="245"/>
      <c r="H968" s="245"/>
      <c r="I968" s="244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</row>
    <row r="969">
      <c r="A969" s="245"/>
      <c r="B969" s="245"/>
      <c r="C969" s="245"/>
      <c r="D969" s="245"/>
      <c r="E969" s="245"/>
      <c r="F969" s="245"/>
      <c r="G969" s="245"/>
      <c r="H969" s="245"/>
      <c r="I969" s="244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</row>
    <row r="970">
      <c r="A970" s="245"/>
      <c r="B970" s="245"/>
      <c r="C970" s="245"/>
      <c r="D970" s="245"/>
      <c r="E970" s="245"/>
      <c r="F970" s="245"/>
      <c r="G970" s="245"/>
      <c r="H970" s="245"/>
      <c r="I970" s="244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</row>
    <row r="971">
      <c r="A971" s="245"/>
      <c r="B971" s="245"/>
      <c r="C971" s="245"/>
      <c r="D971" s="245"/>
      <c r="E971" s="245"/>
      <c r="F971" s="245"/>
      <c r="G971" s="245"/>
      <c r="H971" s="245"/>
      <c r="I971" s="244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</row>
    <row r="972">
      <c r="A972" s="245"/>
      <c r="B972" s="245"/>
      <c r="C972" s="245"/>
      <c r="D972" s="245"/>
      <c r="E972" s="245"/>
      <c r="F972" s="245"/>
      <c r="G972" s="245"/>
      <c r="H972" s="245"/>
      <c r="I972" s="244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</row>
    <row r="973">
      <c r="A973" s="245"/>
      <c r="B973" s="245"/>
      <c r="C973" s="245"/>
      <c r="D973" s="245"/>
      <c r="E973" s="245"/>
      <c r="F973" s="245"/>
      <c r="G973" s="245"/>
      <c r="H973" s="245"/>
      <c r="I973" s="244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</row>
    <row r="974">
      <c r="A974" s="245"/>
      <c r="B974" s="245"/>
      <c r="C974" s="245"/>
      <c r="D974" s="245"/>
      <c r="E974" s="245"/>
      <c r="F974" s="245"/>
      <c r="G974" s="245"/>
      <c r="H974" s="245"/>
      <c r="I974" s="244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</row>
    <row r="975">
      <c r="A975" s="245"/>
      <c r="B975" s="245"/>
      <c r="C975" s="245"/>
      <c r="D975" s="245"/>
      <c r="E975" s="245"/>
      <c r="F975" s="245"/>
      <c r="G975" s="245"/>
      <c r="H975" s="245"/>
      <c r="I975" s="244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</row>
    <row r="976">
      <c r="A976" s="245"/>
      <c r="B976" s="245"/>
      <c r="C976" s="245"/>
      <c r="D976" s="245"/>
      <c r="E976" s="245"/>
      <c r="F976" s="245"/>
      <c r="G976" s="245"/>
      <c r="H976" s="245"/>
      <c r="I976" s="244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</row>
    <row r="977">
      <c r="A977" s="245"/>
      <c r="B977" s="245"/>
      <c r="C977" s="245"/>
      <c r="D977" s="245"/>
      <c r="E977" s="245"/>
      <c r="F977" s="245"/>
      <c r="G977" s="245"/>
      <c r="H977" s="245"/>
      <c r="I977" s="244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</row>
    <row r="978">
      <c r="A978" s="245"/>
      <c r="B978" s="245"/>
      <c r="C978" s="245"/>
      <c r="D978" s="245"/>
      <c r="E978" s="245"/>
      <c r="F978" s="245"/>
      <c r="G978" s="245"/>
      <c r="H978" s="245"/>
      <c r="I978" s="244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</row>
    <row r="979">
      <c r="A979" s="245"/>
      <c r="B979" s="245"/>
      <c r="C979" s="245"/>
      <c r="D979" s="245"/>
      <c r="E979" s="245"/>
      <c r="F979" s="245"/>
      <c r="G979" s="245"/>
      <c r="H979" s="245"/>
      <c r="I979" s="244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</row>
    <row r="980">
      <c r="A980" s="245"/>
      <c r="B980" s="245"/>
      <c r="C980" s="245"/>
      <c r="D980" s="245"/>
      <c r="E980" s="245"/>
      <c r="F980" s="245"/>
      <c r="G980" s="245"/>
      <c r="H980" s="245"/>
      <c r="I980" s="244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</row>
    <row r="981">
      <c r="A981" s="245"/>
      <c r="B981" s="245"/>
      <c r="C981" s="245"/>
      <c r="D981" s="245"/>
      <c r="E981" s="245"/>
      <c r="F981" s="245"/>
      <c r="G981" s="245"/>
      <c r="H981" s="245"/>
      <c r="I981" s="244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</row>
    <row r="982">
      <c r="A982" s="245"/>
      <c r="B982" s="245"/>
      <c r="C982" s="245"/>
      <c r="D982" s="245"/>
      <c r="E982" s="245"/>
      <c r="F982" s="245"/>
      <c r="G982" s="245"/>
      <c r="H982" s="245"/>
      <c r="I982" s="244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</row>
  </sheetData>
  <mergeCells count="30">
    <mergeCell ref="H4:H5"/>
    <mergeCell ref="J4:J5"/>
    <mergeCell ref="K4:K5"/>
    <mergeCell ref="N4:N5"/>
    <mergeCell ref="P4:P5"/>
    <mergeCell ref="A4:A5"/>
    <mergeCell ref="B4:B5"/>
    <mergeCell ref="C4:C5"/>
    <mergeCell ref="D4:D5"/>
    <mergeCell ref="E4:E5"/>
    <mergeCell ref="F4:F5"/>
    <mergeCell ref="G4:G5"/>
    <mergeCell ref="H6:H7"/>
    <mergeCell ref="J6:J7"/>
    <mergeCell ref="K6:K7"/>
    <mergeCell ref="A10:A12"/>
    <mergeCell ref="B10:B12"/>
    <mergeCell ref="C10:C12"/>
    <mergeCell ref="D10:D12"/>
    <mergeCell ref="E10:E12"/>
    <mergeCell ref="F10:F12"/>
    <mergeCell ref="G10:G12"/>
    <mergeCell ref="H10:H12"/>
    <mergeCell ref="A6:A7"/>
    <mergeCell ref="B6:B7"/>
    <mergeCell ref="C6:C7"/>
    <mergeCell ref="D6:D7"/>
    <mergeCell ref="E6:E7"/>
    <mergeCell ref="F6:F7"/>
    <mergeCell ref="G6:G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6.88"/>
    <col customWidth="1" min="3" max="3" width="27.25"/>
    <col customWidth="1" min="4" max="5" width="27.0"/>
    <col customWidth="1" min="8" max="8" width="26.88"/>
    <col customWidth="1" min="9" max="9" width="34.13"/>
    <col customWidth="1" min="11" max="11" width="21.75"/>
  </cols>
  <sheetData>
    <row r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5"/>
      <c r="U1" s="245"/>
      <c r="V1" s="245"/>
      <c r="W1" s="245"/>
      <c r="X1" s="245"/>
      <c r="Y1" s="245"/>
      <c r="Z1" s="245"/>
      <c r="AA1" s="245"/>
    </row>
    <row r="2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5"/>
      <c r="U2" s="245"/>
      <c r="V2" s="245"/>
      <c r="W2" s="245"/>
      <c r="X2" s="245"/>
      <c r="Y2" s="245"/>
      <c r="Z2" s="245"/>
      <c r="AA2" s="245"/>
    </row>
    <row r="3">
      <c r="A3" s="346" t="s">
        <v>2</v>
      </c>
      <c r="B3" s="346" t="s">
        <v>3</v>
      </c>
      <c r="C3" s="346" t="s">
        <v>4</v>
      </c>
      <c r="D3" s="346" t="s">
        <v>5</v>
      </c>
      <c r="E3" s="347" t="s">
        <v>6</v>
      </c>
      <c r="F3" s="346" t="s">
        <v>7</v>
      </c>
      <c r="G3" s="346" t="s">
        <v>873</v>
      </c>
      <c r="H3" s="346" t="s">
        <v>9</v>
      </c>
      <c r="I3" s="371" t="s">
        <v>10</v>
      </c>
      <c r="J3" s="346" t="s">
        <v>110</v>
      </c>
      <c r="K3" s="346" t="s">
        <v>12</v>
      </c>
      <c r="L3" s="346" t="s">
        <v>874</v>
      </c>
      <c r="M3" s="346" t="s">
        <v>875</v>
      </c>
      <c r="N3" s="346" t="s">
        <v>876</v>
      </c>
      <c r="O3" s="346" t="s">
        <v>16</v>
      </c>
      <c r="P3" s="346" t="s">
        <v>17</v>
      </c>
      <c r="Q3" s="346" t="s">
        <v>18</v>
      </c>
      <c r="R3" s="346" t="s">
        <v>19</v>
      </c>
      <c r="S3" s="349" t="s">
        <v>877</v>
      </c>
      <c r="T3" s="350"/>
      <c r="U3" s="350"/>
      <c r="V3" s="350"/>
      <c r="W3" s="350"/>
      <c r="X3" s="350"/>
      <c r="Y3" s="245"/>
      <c r="Z3" s="245"/>
      <c r="AA3" s="245"/>
    </row>
    <row r="4">
      <c r="A4" s="343">
        <v>1.0</v>
      </c>
      <c r="B4" s="358" t="s">
        <v>878</v>
      </c>
      <c r="C4" s="304" t="s">
        <v>879</v>
      </c>
      <c r="D4" s="304" t="s">
        <v>880</v>
      </c>
      <c r="E4" s="297" t="s">
        <v>881</v>
      </c>
      <c r="F4" s="358" t="s">
        <v>882</v>
      </c>
      <c r="G4" s="358" t="s">
        <v>883</v>
      </c>
      <c r="H4" s="297" t="s">
        <v>884</v>
      </c>
      <c r="I4" s="297" t="s">
        <v>885</v>
      </c>
      <c r="J4" s="358" t="s">
        <v>142</v>
      </c>
      <c r="K4" s="304" t="s">
        <v>886</v>
      </c>
      <c r="L4" s="344">
        <v>46023.0</v>
      </c>
      <c r="M4" s="372">
        <v>46203.0</v>
      </c>
      <c r="N4" s="326">
        <f t="shared" ref="N4:N5" si="1">INT(NETWORKDAYS(L4,M4)/5)</f>
        <v>25</v>
      </c>
      <c r="O4" s="363" t="s">
        <v>887</v>
      </c>
      <c r="P4" s="359" t="s">
        <v>888</v>
      </c>
      <c r="Q4" s="360" t="s">
        <v>219</v>
      </c>
      <c r="R4" s="360" t="s">
        <v>889</v>
      </c>
      <c r="S4" s="284"/>
      <c r="T4" s="245"/>
      <c r="U4" s="245"/>
      <c r="V4" s="245"/>
      <c r="W4" s="245"/>
      <c r="X4" s="245"/>
      <c r="Y4" s="245"/>
      <c r="Z4" s="245"/>
      <c r="AA4" s="245"/>
    </row>
    <row r="5">
      <c r="A5" s="351">
        <v>2.0</v>
      </c>
      <c r="B5" s="352" t="s">
        <v>890</v>
      </c>
      <c r="C5" s="353" t="s">
        <v>891</v>
      </c>
      <c r="D5" s="353" t="s">
        <v>892</v>
      </c>
      <c r="E5" s="373"/>
      <c r="F5" s="374" t="s">
        <v>882</v>
      </c>
      <c r="G5" s="375" t="s">
        <v>651</v>
      </c>
      <c r="H5" s="373" t="s">
        <v>893</v>
      </c>
      <c r="I5" s="373" t="s">
        <v>894</v>
      </c>
      <c r="J5" s="374" t="s">
        <v>895</v>
      </c>
      <c r="K5" s="373" t="s">
        <v>896</v>
      </c>
      <c r="L5" s="376">
        <v>46023.0</v>
      </c>
      <c r="M5" s="376">
        <v>46234.0</v>
      </c>
      <c r="N5" s="377">
        <f t="shared" si="1"/>
        <v>30</v>
      </c>
      <c r="O5" s="378" t="s">
        <v>897</v>
      </c>
      <c r="P5" s="373" t="s">
        <v>898</v>
      </c>
      <c r="Q5" s="373" t="s">
        <v>219</v>
      </c>
      <c r="R5" s="373" t="s">
        <v>899</v>
      </c>
      <c r="S5" s="379"/>
      <c r="T5" s="245"/>
      <c r="U5" s="245"/>
      <c r="V5" s="245"/>
      <c r="W5" s="245"/>
      <c r="X5" s="245"/>
      <c r="Y5" s="245"/>
      <c r="Z5" s="245"/>
      <c r="AA5" s="245"/>
    </row>
    <row r="6">
      <c r="A6" s="245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</row>
    <row r="7">
      <c r="A7" s="245"/>
      <c r="B7" s="345" t="s">
        <v>106</v>
      </c>
      <c r="C7" s="244"/>
      <c r="D7" s="345" t="s">
        <v>107</v>
      </c>
      <c r="E7" s="3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</row>
    <row r="8">
      <c r="A8" s="245"/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</row>
    <row r="9">
      <c r="A9" s="245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</row>
    <row r="10">
      <c r="A10" s="245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</row>
    <row r="11">
      <c r="A11" s="245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</row>
    <row r="12">
      <c r="A12" s="245"/>
      <c r="B12" s="245"/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</row>
    <row r="13">
      <c r="A13" s="245"/>
      <c r="B13" s="245"/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</row>
    <row r="14">
      <c r="A14" s="245"/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</row>
    <row r="15">
      <c r="A15" s="245"/>
      <c r="B15" s="245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</row>
    <row r="16">
      <c r="A16" s="245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</row>
    <row r="17">
      <c r="A17" s="245"/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</row>
    <row r="18">
      <c r="A18" s="245"/>
      <c r="B18" s="245"/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</row>
    <row r="20">
      <c r="A20" s="245"/>
      <c r="B20" s="245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</row>
    <row r="21">
      <c r="A21" s="245"/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</row>
    <row r="22">
      <c r="A22" s="245"/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</row>
    <row r="23">
      <c r="A23" s="245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</row>
    <row r="24">
      <c r="A24" s="245"/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</row>
    <row r="25">
      <c r="A25" s="245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</row>
    <row r="26">
      <c r="A26" s="245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</row>
    <row r="27">
      <c r="A27" s="245"/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</row>
    <row r="28">
      <c r="A28" s="245"/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</row>
    <row r="29">
      <c r="A29" s="245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</row>
    <row r="30">
      <c r="A30" s="245"/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</row>
    <row r="31">
      <c r="A31" s="245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</row>
    <row r="32">
      <c r="A32" s="245"/>
      <c r="B32" s="245"/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</row>
    <row r="33">
      <c r="A33" s="245"/>
      <c r="B33" s="245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</row>
    <row r="34">
      <c r="A34" s="245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</row>
    <row r="35">
      <c r="A35" s="245"/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</row>
    <row r="36">
      <c r="A36" s="245"/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</row>
    <row r="37">
      <c r="A37" s="245"/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</row>
    <row r="38">
      <c r="A38" s="245"/>
      <c r="B38" s="245"/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</row>
    <row r="39">
      <c r="A39" s="245"/>
      <c r="B39" s="245"/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</row>
    <row r="40">
      <c r="A40" s="245"/>
      <c r="B40" s="245"/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</row>
    <row r="41">
      <c r="A41" s="245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</row>
    <row r="42">
      <c r="A42" s="245"/>
      <c r="B42" s="245"/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</row>
    <row r="43">
      <c r="A43" s="245"/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</row>
    <row r="44">
      <c r="A44" s="245"/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</row>
    <row r="45">
      <c r="A45" s="245"/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</row>
    <row r="46">
      <c r="A46" s="245"/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</row>
    <row r="47">
      <c r="A47" s="245"/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</row>
    <row r="48">
      <c r="A48" s="245"/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</row>
    <row r="49">
      <c r="A49" s="245"/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</row>
    <row r="50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</row>
    <row r="51">
      <c r="A51" s="245"/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</row>
    <row r="52">
      <c r="A52" s="245"/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</row>
    <row r="53">
      <c r="A53" s="245"/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</row>
    <row r="54">
      <c r="A54" s="245"/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</row>
    <row r="55">
      <c r="A55" s="245"/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</row>
    <row r="56">
      <c r="A56" s="245"/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</row>
    <row r="57">
      <c r="A57" s="245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</row>
    <row r="58">
      <c r="A58" s="245"/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</row>
    <row r="59">
      <c r="A59" s="245"/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</row>
    <row r="60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</row>
    <row r="61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</row>
    <row r="62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</row>
    <row r="63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</row>
    <row r="64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</row>
    <row r="65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</row>
    <row r="66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</row>
    <row r="67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</row>
    <row r="68">
      <c r="A68" s="245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</row>
    <row r="69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</row>
    <row r="70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</row>
    <row r="71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</row>
    <row r="72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</row>
    <row r="73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</row>
    <row r="74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</row>
    <row r="75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</row>
    <row r="76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</row>
    <row r="77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</row>
    <row r="78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</row>
    <row r="79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</row>
    <row r="80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</row>
    <row r="81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</row>
    <row r="82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</row>
    <row r="83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</row>
    <row r="84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</row>
    <row r="85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</row>
    <row r="86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</row>
    <row r="87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</row>
    <row r="88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</row>
    <row r="89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</row>
    <row r="90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</row>
    <row r="91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</row>
    <row r="92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</row>
    <row r="93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</row>
    <row r="94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</row>
    <row r="95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</row>
    <row r="96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</row>
    <row r="97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</row>
    <row r="98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</row>
    <row r="99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</row>
    <row r="100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</row>
    <row r="101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</row>
    <row r="102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</row>
    <row r="103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</row>
    <row r="104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</row>
    <row r="105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</row>
    <row r="106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</row>
    <row r="107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</row>
    <row r="108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</row>
    <row r="109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</row>
    <row r="110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</row>
    <row r="111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</row>
    <row r="112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</row>
    <row r="113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</row>
    <row r="114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</row>
    <row r="115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</row>
    <row r="116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</row>
    <row r="117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</row>
    <row r="118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</row>
    <row r="119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</row>
    <row r="120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</row>
    <row r="121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</row>
    <row r="122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</row>
    <row r="123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</row>
    <row r="124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</row>
    <row r="125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</row>
    <row r="126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</row>
    <row r="127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</row>
    <row r="128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</row>
    <row r="129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</row>
    <row r="130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</row>
    <row r="131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</row>
    <row r="132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</row>
    <row r="133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</row>
    <row r="134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</row>
    <row r="135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</row>
    <row r="136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</row>
    <row r="137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</row>
    <row r="138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</row>
    <row r="139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</row>
    <row r="140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</row>
    <row r="141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</row>
    <row r="142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</row>
    <row r="143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</row>
    <row r="144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</row>
    <row r="145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</row>
    <row r="146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</row>
    <row r="147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</row>
    <row r="148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</row>
    <row r="149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</row>
    <row r="150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</row>
    <row r="151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</row>
    <row r="152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</row>
    <row r="153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</row>
    <row r="154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</row>
    <row r="155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</row>
    <row r="156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</row>
    <row r="157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</row>
    <row r="158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</row>
    <row r="159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</row>
    <row r="160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</row>
    <row r="161">
      <c r="A161" s="245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</row>
    <row r="162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</row>
    <row r="163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</row>
    <row r="164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</row>
    <row r="165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</row>
    <row r="166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</row>
    <row r="167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</row>
    <row r="168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</row>
    <row r="169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</row>
    <row r="170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</row>
    <row r="171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</row>
    <row r="172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</row>
    <row r="173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</row>
    <row r="174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</row>
    <row r="175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</row>
    <row r="176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</row>
    <row r="177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</row>
    <row r="178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</row>
    <row r="179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</row>
    <row r="180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</row>
    <row r="181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</row>
    <row r="182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</row>
    <row r="183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</row>
    <row r="184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</row>
    <row r="185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</row>
    <row r="186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</row>
    <row r="187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</row>
    <row r="188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</row>
    <row r="189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</row>
    <row r="190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</row>
    <row r="191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</row>
    <row r="192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</row>
    <row r="193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</row>
    <row r="194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</row>
    <row r="195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</row>
    <row r="196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</row>
    <row r="197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</row>
    <row r="198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</row>
    <row r="199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</row>
    <row r="200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</row>
    <row r="201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</row>
    <row r="202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</row>
    <row r="203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</row>
    <row r="204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</row>
    <row r="205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</row>
    <row r="206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</row>
    <row r="207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</row>
    <row r="208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</row>
    <row r="209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</row>
    <row r="210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</row>
    <row r="211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</row>
    <row r="212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</row>
    <row r="213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</row>
    <row r="214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</row>
    <row r="215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</row>
    <row r="216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</row>
    <row r="217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</row>
    <row r="218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</row>
    <row r="219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</row>
    <row r="220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</row>
    <row r="221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</row>
    <row r="222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</row>
    <row r="223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</row>
    <row r="224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</row>
    <row r="225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</row>
    <row r="226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</row>
    <row r="227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</row>
    <row r="228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</row>
    <row r="229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</row>
    <row r="230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</row>
    <row r="231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</row>
    <row r="232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</row>
    <row r="233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</row>
    <row r="234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</row>
    <row r="235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</row>
    <row r="236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</row>
    <row r="237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</row>
    <row r="238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</row>
    <row r="239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</row>
    <row r="240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</row>
    <row r="24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</row>
    <row r="242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</row>
    <row r="243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</row>
    <row r="244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</row>
    <row r="245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</row>
    <row r="246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</row>
    <row r="247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</row>
    <row r="248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</row>
    <row r="249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</row>
    <row r="250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</row>
    <row r="25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</row>
    <row r="252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</row>
    <row r="253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</row>
    <row r="254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</row>
    <row r="255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</row>
    <row r="256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</row>
    <row r="257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</row>
    <row r="258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</row>
    <row r="259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</row>
    <row r="260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</row>
    <row r="26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</row>
    <row r="262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</row>
    <row r="263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</row>
    <row r="264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</row>
    <row r="265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</row>
    <row r="266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</row>
    <row r="267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</row>
    <row r="268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</row>
    <row r="269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</row>
    <row r="270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</row>
    <row r="27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</row>
    <row r="272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</row>
    <row r="273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</row>
    <row r="274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</row>
    <row r="275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</row>
    <row r="276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</row>
    <row r="277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</row>
    <row r="278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</row>
    <row r="279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</row>
    <row r="280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</row>
    <row r="28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</row>
    <row r="282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</row>
    <row r="283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</row>
    <row r="284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</row>
    <row r="285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</row>
    <row r="286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</row>
    <row r="287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</row>
    <row r="288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</row>
    <row r="289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</row>
    <row r="290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</row>
    <row r="29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</row>
    <row r="292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</row>
    <row r="293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</row>
    <row r="294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</row>
    <row r="295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</row>
    <row r="296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</row>
    <row r="297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</row>
    <row r="298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</row>
    <row r="299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</row>
    <row r="300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</row>
    <row r="30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</row>
    <row r="302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</row>
    <row r="303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</row>
    <row r="304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</row>
    <row r="305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</row>
    <row r="306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</row>
    <row r="307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</row>
    <row r="308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</row>
    <row r="309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</row>
    <row r="310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</row>
    <row r="31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</row>
    <row r="312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</row>
    <row r="313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</row>
    <row r="314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</row>
    <row r="315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</row>
    <row r="316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</row>
    <row r="317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</row>
    <row r="318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</row>
    <row r="319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</row>
    <row r="320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</row>
    <row r="32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</row>
    <row r="322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</row>
    <row r="323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</row>
    <row r="324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</row>
    <row r="325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</row>
    <row r="326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</row>
    <row r="327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</row>
    <row r="328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</row>
    <row r="329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</row>
    <row r="330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</row>
    <row r="33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</row>
    <row r="332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</row>
    <row r="333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</row>
    <row r="334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</row>
    <row r="335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</row>
    <row r="336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</row>
    <row r="337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</row>
    <row r="338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</row>
    <row r="339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</row>
    <row r="340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</row>
    <row r="34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</row>
    <row r="342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</row>
    <row r="343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</row>
    <row r="344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</row>
    <row r="345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</row>
    <row r="346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</row>
    <row r="347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</row>
    <row r="348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</row>
    <row r="349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</row>
    <row r="350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</row>
    <row r="35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</row>
    <row r="352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</row>
    <row r="353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</row>
    <row r="354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</row>
    <row r="355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</row>
    <row r="356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</row>
    <row r="357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</row>
    <row r="358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</row>
    <row r="359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</row>
    <row r="360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</row>
    <row r="36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</row>
    <row r="362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</row>
    <row r="363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</row>
    <row r="364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</row>
    <row r="365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</row>
    <row r="366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</row>
    <row r="367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</row>
    <row r="368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</row>
    <row r="369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</row>
    <row r="370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</row>
    <row r="37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</row>
    <row r="372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</row>
    <row r="373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</row>
    <row r="374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</row>
    <row r="375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</row>
    <row r="376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</row>
    <row r="377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</row>
    <row r="378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</row>
    <row r="379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</row>
    <row r="380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</row>
    <row r="38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</row>
    <row r="382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</row>
    <row r="383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</row>
    <row r="384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</row>
    <row r="385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</row>
    <row r="386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</row>
    <row r="387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</row>
    <row r="388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</row>
    <row r="389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</row>
    <row r="390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</row>
    <row r="39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</row>
    <row r="392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</row>
    <row r="393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</row>
    <row r="394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</row>
    <row r="395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</row>
    <row r="396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</row>
    <row r="397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</row>
    <row r="398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</row>
    <row r="399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</row>
    <row r="400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</row>
    <row r="40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</row>
    <row r="402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</row>
    <row r="403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</row>
    <row r="404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</row>
    <row r="405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</row>
    <row r="406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</row>
    <row r="407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</row>
    <row r="408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</row>
    <row r="409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</row>
    <row r="410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</row>
    <row r="41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</row>
    <row r="412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</row>
    <row r="413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</row>
    <row r="414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</row>
    <row r="415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</row>
    <row r="416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</row>
    <row r="417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</row>
    <row r="418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</row>
    <row r="419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</row>
    <row r="420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</row>
    <row r="42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</row>
    <row r="422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</row>
    <row r="423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</row>
    <row r="424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</row>
    <row r="425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</row>
    <row r="426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</row>
    <row r="427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</row>
    <row r="428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</row>
    <row r="429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</row>
    <row r="430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</row>
    <row r="43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</row>
    <row r="432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</row>
    <row r="433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</row>
    <row r="434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</row>
    <row r="435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</row>
    <row r="436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</row>
    <row r="437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</row>
    <row r="438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</row>
    <row r="439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</row>
    <row r="440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</row>
    <row r="44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</row>
    <row r="442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</row>
    <row r="443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</row>
    <row r="444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</row>
    <row r="445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</row>
    <row r="446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</row>
    <row r="447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</row>
    <row r="448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</row>
    <row r="449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</row>
    <row r="450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</row>
    <row r="45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</row>
    <row r="452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</row>
    <row r="453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</row>
    <row r="454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</row>
    <row r="455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</row>
    <row r="456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</row>
    <row r="457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</row>
    <row r="458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</row>
    <row r="459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</row>
    <row r="460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</row>
    <row r="46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</row>
    <row r="462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</row>
    <row r="463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</row>
    <row r="464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</row>
    <row r="465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</row>
    <row r="466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</row>
    <row r="467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</row>
    <row r="468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</row>
    <row r="469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</row>
    <row r="470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</row>
    <row r="47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</row>
    <row r="472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</row>
    <row r="473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</row>
    <row r="474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</row>
    <row r="475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</row>
    <row r="476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</row>
    <row r="477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</row>
    <row r="478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</row>
    <row r="479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</row>
    <row r="480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</row>
    <row r="48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</row>
    <row r="482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</row>
    <row r="483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</row>
    <row r="484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</row>
    <row r="485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</row>
    <row r="486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</row>
    <row r="487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</row>
    <row r="488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</row>
    <row r="489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</row>
    <row r="490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</row>
    <row r="49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</row>
    <row r="492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</row>
    <row r="493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</row>
    <row r="494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</row>
    <row r="495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</row>
    <row r="496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</row>
    <row r="497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</row>
    <row r="498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</row>
    <row r="499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</row>
    <row r="500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</row>
    <row r="50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</row>
    <row r="502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</row>
    <row r="503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</row>
    <row r="504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</row>
    <row r="505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</row>
    <row r="506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</row>
    <row r="507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</row>
    <row r="508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</row>
    <row r="509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</row>
    <row r="510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</row>
    <row r="51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</row>
    <row r="512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</row>
    <row r="513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</row>
    <row r="514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</row>
    <row r="515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</row>
    <row r="516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</row>
    <row r="517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</row>
    <row r="518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</row>
    <row r="519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</row>
    <row r="520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</row>
    <row r="52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</row>
    <row r="522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</row>
    <row r="523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</row>
    <row r="524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</row>
    <row r="525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</row>
    <row r="526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</row>
    <row r="527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</row>
    <row r="528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</row>
    <row r="529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</row>
    <row r="530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</row>
    <row r="53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</row>
    <row r="532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</row>
    <row r="533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</row>
    <row r="534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</row>
    <row r="535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</row>
    <row r="536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</row>
    <row r="537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</row>
    <row r="538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</row>
    <row r="539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</row>
    <row r="540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</row>
    <row r="54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</row>
    <row r="542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</row>
    <row r="543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</row>
    <row r="544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</row>
    <row r="545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</row>
    <row r="546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</row>
    <row r="547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</row>
    <row r="548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</row>
    <row r="549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</row>
    <row r="550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</row>
    <row r="55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</row>
    <row r="552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</row>
    <row r="553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</row>
    <row r="554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</row>
    <row r="555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</row>
    <row r="556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</row>
    <row r="557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</row>
    <row r="558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</row>
    <row r="559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</row>
    <row r="560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</row>
    <row r="56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</row>
    <row r="562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</row>
    <row r="563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</row>
    <row r="564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</row>
    <row r="565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</row>
    <row r="566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</row>
    <row r="567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</row>
    <row r="568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</row>
    <row r="569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</row>
    <row r="570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</row>
    <row r="57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</row>
    <row r="572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</row>
    <row r="573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</row>
    <row r="574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</row>
    <row r="575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</row>
    <row r="576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</row>
    <row r="577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</row>
    <row r="578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</row>
    <row r="579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</row>
    <row r="580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</row>
    <row r="58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</row>
    <row r="582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</row>
    <row r="583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</row>
    <row r="584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</row>
    <row r="585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</row>
    <row r="586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</row>
    <row r="587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</row>
    <row r="588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</row>
    <row r="589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</row>
    <row r="590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</row>
    <row r="59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</row>
    <row r="592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</row>
    <row r="593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</row>
    <row r="594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</row>
    <row r="595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</row>
    <row r="596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</row>
    <row r="597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</row>
    <row r="598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</row>
    <row r="599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</row>
    <row r="600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</row>
    <row r="60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</row>
    <row r="602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</row>
    <row r="603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</row>
    <row r="604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</row>
    <row r="605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</row>
    <row r="606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</row>
    <row r="607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</row>
    <row r="608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</row>
    <row r="609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</row>
    <row r="610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</row>
    <row r="61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</row>
    <row r="612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</row>
    <row r="613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</row>
    <row r="614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</row>
    <row r="615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</row>
    <row r="616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</row>
    <row r="617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</row>
    <row r="618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</row>
    <row r="619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</row>
    <row r="620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</row>
    <row r="62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</row>
    <row r="622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</row>
    <row r="623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</row>
    <row r="624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</row>
    <row r="625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</row>
    <row r="626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</row>
    <row r="627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</row>
    <row r="628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</row>
    <row r="629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</row>
    <row r="630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</row>
    <row r="63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</row>
    <row r="632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</row>
    <row r="633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</row>
    <row r="634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</row>
    <row r="635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</row>
    <row r="636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</row>
    <row r="637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</row>
    <row r="638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</row>
    <row r="639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</row>
    <row r="640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</row>
    <row r="64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</row>
    <row r="642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</row>
    <row r="643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</row>
    <row r="644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</row>
    <row r="645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</row>
    <row r="646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</row>
    <row r="647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</row>
    <row r="648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</row>
    <row r="649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</row>
    <row r="650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</row>
    <row r="65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</row>
    <row r="652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</row>
    <row r="653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</row>
    <row r="654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</row>
    <row r="655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</row>
    <row r="656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</row>
    <row r="657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</row>
    <row r="658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</row>
    <row r="659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</row>
    <row r="660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</row>
    <row r="66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</row>
    <row r="662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</row>
    <row r="663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</row>
    <row r="664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</row>
    <row r="665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</row>
    <row r="666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</row>
    <row r="667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</row>
    <row r="668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</row>
    <row r="669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</row>
    <row r="670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</row>
    <row r="67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</row>
    <row r="672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</row>
    <row r="673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</row>
    <row r="674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</row>
    <row r="675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</row>
    <row r="676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</row>
    <row r="677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</row>
    <row r="678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</row>
    <row r="679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</row>
    <row r="680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</row>
    <row r="68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</row>
    <row r="682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</row>
    <row r="683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</row>
    <row r="684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</row>
    <row r="685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</row>
    <row r="686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</row>
    <row r="687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</row>
    <row r="688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</row>
    <row r="689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</row>
    <row r="690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</row>
    <row r="69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</row>
    <row r="692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</row>
    <row r="693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</row>
    <row r="694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</row>
    <row r="695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</row>
    <row r="696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</row>
    <row r="697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</row>
    <row r="698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</row>
    <row r="699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</row>
    <row r="700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</row>
    <row r="70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</row>
    <row r="702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</row>
    <row r="703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</row>
    <row r="704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</row>
    <row r="705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</row>
    <row r="706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</row>
    <row r="707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</row>
    <row r="708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</row>
    <row r="709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</row>
    <row r="710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</row>
    <row r="71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</row>
    <row r="712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</row>
    <row r="713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</row>
    <row r="714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</row>
    <row r="715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</row>
    <row r="716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</row>
    <row r="717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</row>
    <row r="718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</row>
    <row r="719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</row>
    <row r="720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</row>
    <row r="72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</row>
    <row r="722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</row>
    <row r="723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</row>
    <row r="724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</row>
    <row r="725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</row>
    <row r="726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</row>
    <row r="727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</row>
    <row r="728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</row>
    <row r="729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</row>
    <row r="730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</row>
    <row r="73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</row>
    <row r="732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</row>
    <row r="733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</row>
    <row r="734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</row>
    <row r="735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</row>
    <row r="736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</row>
    <row r="737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</row>
    <row r="738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</row>
    <row r="739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</row>
    <row r="740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</row>
    <row r="74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</row>
    <row r="742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</row>
    <row r="743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</row>
    <row r="744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</row>
    <row r="745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</row>
    <row r="746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</row>
    <row r="747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</row>
    <row r="748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</row>
    <row r="749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</row>
    <row r="750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</row>
    <row r="75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</row>
    <row r="752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</row>
    <row r="753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</row>
    <row r="754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</row>
    <row r="755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</row>
    <row r="756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</row>
    <row r="757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</row>
    <row r="758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</row>
    <row r="759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</row>
    <row r="760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</row>
    <row r="76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</row>
    <row r="762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</row>
    <row r="763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</row>
    <row r="764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</row>
    <row r="765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</row>
    <row r="766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</row>
    <row r="767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</row>
    <row r="768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</row>
    <row r="769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</row>
    <row r="770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</row>
    <row r="77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</row>
    <row r="772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</row>
    <row r="773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</row>
    <row r="774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</row>
    <row r="775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</row>
    <row r="776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</row>
    <row r="777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</row>
    <row r="778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</row>
    <row r="779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</row>
    <row r="780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</row>
    <row r="78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</row>
    <row r="782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</row>
    <row r="783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</row>
    <row r="784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</row>
    <row r="785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</row>
    <row r="786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</row>
    <row r="787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</row>
    <row r="788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</row>
    <row r="789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</row>
    <row r="790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</row>
    <row r="79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</row>
    <row r="792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</row>
    <row r="793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</row>
    <row r="794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</row>
    <row r="795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</row>
    <row r="796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</row>
    <row r="797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</row>
    <row r="798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</row>
    <row r="799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</row>
    <row r="800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</row>
    <row r="80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</row>
    <row r="802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</row>
    <row r="803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</row>
    <row r="804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</row>
    <row r="805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</row>
    <row r="806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</row>
    <row r="807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</row>
    <row r="808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</row>
    <row r="809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</row>
    <row r="810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</row>
    <row r="81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</row>
    <row r="812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</row>
    <row r="813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</row>
    <row r="814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</row>
    <row r="815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</row>
    <row r="816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</row>
    <row r="817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</row>
    <row r="818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</row>
    <row r="819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</row>
    <row r="820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</row>
    <row r="82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</row>
    <row r="822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</row>
    <row r="823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</row>
    <row r="824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</row>
    <row r="825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</row>
    <row r="826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</row>
    <row r="827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</row>
    <row r="828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</row>
    <row r="829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</row>
    <row r="830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</row>
    <row r="83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</row>
    <row r="832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</row>
    <row r="833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</row>
    <row r="834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</row>
    <row r="835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</row>
    <row r="836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</row>
    <row r="837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</row>
    <row r="838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</row>
    <row r="839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</row>
    <row r="840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</row>
    <row r="84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</row>
    <row r="842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</row>
    <row r="843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</row>
    <row r="844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</row>
    <row r="845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</row>
    <row r="846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</row>
    <row r="847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</row>
    <row r="848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</row>
    <row r="849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</row>
    <row r="850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</row>
    <row r="85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</row>
    <row r="852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</row>
    <row r="853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</row>
    <row r="854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</row>
    <row r="855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</row>
    <row r="856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</row>
    <row r="857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</row>
    <row r="858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</row>
    <row r="859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</row>
    <row r="860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</row>
    <row r="86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</row>
    <row r="862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</row>
    <row r="863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</row>
    <row r="864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</row>
    <row r="865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</row>
    <row r="866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</row>
    <row r="867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</row>
    <row r="868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</row>
    <row r="869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</row>
    <row r="870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</row>
    <row r="87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</row>
    <row r="872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</row>
    <row r="873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</row>
    <row r="874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</row>
    <row r="875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</row>
    <row r="876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</row>
    <row r="877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</row>
    <row r="878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</row>
    <row r="879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</row>
    <row r="880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</row>
    <row r="88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</row>
    <row r="882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</row>
    <row r="883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</row>
    <row r="884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</row>
    <row r="885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</row>
    <row r="886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</row>
    <row r="887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</row>
    <row r="888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</row>
    <row r="889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</row>
    <row r="890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</row>
    <row r="89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</row>
    <row r="892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</row>
    <row r="893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</row>
    <row r="894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</row>
    <row r="895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</row>
    <row r="896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</row>
    <row r="897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</row>
    <row r="898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</row>
    <row r="899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</row>
    <row r="900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</row>
    <row r="90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</row>
    <row r="902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</row>
    <row r="903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</row>
    <row r="904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</row>
    <row r="905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</row>
    <row r="906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</row>
    <row r="907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</row>
    <row r="908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</row>
    <row r="909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</row>
    <row r="910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</row>
    <row r="91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</row>
    <row r="912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</row>
    <row r="913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</row>
    <row r="914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</row>
    <row r="915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</row>
    <row r="916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</row>
    <row r="917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</row>
    <row r="918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</row>
    <row r="919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</row>
    <row r="920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</row>
    <row r="92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</row>
    <row r="922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</row>
    <row r="923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</row>
    <row r="924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</row>
    <row r="925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</row>
    <row r="926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</row>
    <row r="927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</row>
    <row r="928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</row>
    <row r="929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</row>
    <row r="930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</row>
    <row r="93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</row>
    <row r="932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</row>
    <row r="933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</row>
    <row r="934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</row>
    <row r="935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</row>
    <row r="936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</row>
    <row r="937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</row>
    <row r="938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</row>
    <row r="939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</row>
    <row r="940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</row>
    <row r="94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</row>
    <row r="942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</row>
    <row r="943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</row>
    <row r="944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</row>
    <row r="945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</row>
    <row r="946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</row>
    <row r="947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</row>
    <row r="948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</row>
    <row r="949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</row>
    <row r="950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</row>
    <row r="95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</row>
    <row r="952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</row>
    <row r="953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</row>
    <row r="954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</row>
    <row r="955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</row>
    <row r="956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</row>
    <row r="957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</row>
    <row r="958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</row>
    <row r="959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</row>
    <row r="960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</row>
    <row r="96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</row>
    <row r="962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</row>
    <row r="963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</row>
    <row r="964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</row>
    <row r="965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</row>
    <row r="966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</row>
    <row r="967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</row>
    <row r="968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</row>
    <row r="969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</row>
    <row r="970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</row>
    <row r="97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</row>
    <row r="972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</row>
    <row r="973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</row>
    <row r="974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</row>
    <row r="975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</row>
    <row r="976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</row>
    <row r="977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</row>
    <row r="978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</row>
    <row r="979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</row>
    <row r="980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</row>
    <row r="98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</row>
    <row r="982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0.75"/>
    <col customWidth="1" min="3" max="3" width="22.25"/>
    <col customWidth="1" min="4" max="5" width="25.75"/>
    <col customWidth="1" min="8" max="8" width="26.38"/>
    <col customWidth="1" min="9" max="9" width="32.88"/>
    <col customWidth="1" min="16" max="16" width="22.88"/>
    <col customWidth="1" min="17" max="17" width="16.75"/>
  </cols>
  <sheetData>
    <row r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5"/>
      <c r="U1" s="245"/>
      <c r="V1" s="245"/>
      <c r="W1" s="245"/>
      <c r="X1" s="245"/>
      <c r="Y1" s="245"/>
      <c r="Z1" s="245"/>
      <c r="AA1" s="245"/>
    </row>
    <row r="2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5"/>
      <c r="U2" s="245"/>
      <c r="V2" s="245"/>
      <c r="W2" s="245"/>
      <c r="X2" s="245"/>
      <c r="Y2" s="245"/>
      <c r="Z2" s="245"/>
      <c r="AA2" s="245"/>
    </row>
    <row r="3">
      <c r="A3" s="74" t="s">
        <v>2</v>
      </c>
      <c r="B3" s="74" t="s">
        <v>3</v>
      </c>
      <c r="C3" s="74" t="s">
        <v>4</v>
      </c>
      <c r="D3" s="74" t="s">
        <v>5</v>
      </c>
      <c r="E3" s="75" t="s">
        <v>6</v>
      </c>
      <c r="F3" s="74" t="s">
        <v>7</v>
      </c>
      <c r="G3" s="74" t="s">
        <v>900</v>
      </c>
      <c r="H3" s="74" t="s">
        <v>9</v>
      </c>
      <c r="I3" s="76" t="s">
        <v>10</v>
      </c>
      <c r="J3" s="74" t="s">
        <v>110</v>
      </c>
      <c r="K3" s="74" t="s">
        <v>12</v>
      </c>
      <c r="L3" s="74" t="s">
        <v>901</v>
      </c>
      <c r="M3" s="74" t="s">
        <v>902</v>
      </c>
      <c r="N3" s="74" t="s">
        <v>903</v>
      </c>
      <c r="O3" s="74" t="s">
        <v>16</v>
      </c>
      <c r="P3" s="74" t="s">
        <v>17</v>
      </c>
      <c r="Q3" s="74" t="s">
        <v>18</v>
      </c>
      <c r="R3" s="74" t="s">
        <v>19</v>
      </c>
      <c r="S3" s="77" t="s">
        <v>904</v>
      </c>
      <c r="T3" s="246"/>
      <c r="U3" s="246"/>
      <c r="V3" s="246"/>
      <c r="W3" s="246"/>
      <c r="X3" s="246"/>
      <c r="Y3" s="246"/>
      <c r="Z3" s="246"/>
      <c r="AA3" s="246"/>
    </row>
    <row r="4">
      <c r="A4" s="343">
        <v>1.0</v>
      </c>
      <c r="B4" s="358" t="s">
        <v>905</v>
      </c>
      <c r="C4" s="304" t="s">
        <v>906</v>
      </c>
      <c r="D4" s="304" t="s">
        <v>907</v>
      </c>
      <c r="E4" s="380" t="s">
        <v>908</v>
      </c>
      <c r="F4" s="304" t="s">
        <v>138</v>
      </c>
      <c r="G4" s="381"/>
      <c r="H4" s="304"/>
      <c r="I4" s="297" t="s">
        <v>909</v>
      </c>
      <c r="J4" s="304"/>
      <c r="K4" s="304"/>
      <c r="L4" s="344"/>
      <c r="M4" s="344"/>
      <c r="N4" s="326"/>
      <c r="O4" s="382"/>
      <c r="P4" s="382"/>
      <c r="Q4" s="304"/>
      <c r="R4" s="284"/>
      <c r="S4" s="284"/>
      <c r="T4" s="245"/>
      <c r="U4" s="245"/>
      <c r="V4" s="245"/>
      <c r="W4" s="245"/>
      <c r="X4" s="245"/>
      <c r="Y4" s="245"/>
      <c r="Z4" s="245"/>
      <c r="AA4" s="245"/>
    </row>
    <row r="5">
      <c r="A5" s="343">
        <v>2.0</v>
      </c>
      <c r="B5" s="358" t="s">
        <v>910</v>
      </c>
      <c r="C5" s="304" t="s">
        <v>911</v>
      </c>
      <c r="D5" s="304" t="s">
        <v>912</v>
      </c>
      <c r="E5" s="380" t="s">
        <v>908</v>
      </c>
      <c r="F5" s="304" t="s">
        <v>138</v>
      </c>
      <c r="G5" s="381"/>
      <c r="H5" s="304"/>
      <c r="I5" s="297" t="s">
        <v>909</v>
      </c>
      <c r="J5" s="304"/>
      <c r="K5" s="304"/>
      <c r="L5" s="344"/>
      <c r="M5" s="344"/>
      <c r="N5" s="326"/>
      <c r="O5" s="382"/>
      <c r="P5" s="382"/>
      <c r="Q5" s="304"/>
      <c r="R5" s="284"/>
      <c r="S5" s="284"/>
      <c r="T5" s="245"/>
      <c r="U5" s="245"/>
      <c r="V5" s="245"/>
      <c r="W5" s="245"/>
      <c r="X5" s="245"/>
      <c r="Y5" s="245"/>
      <c r="Z5" s="245"/>
      <c r="AA5" s="245"/>
    </row>
    <row r="6">
      <c r="A6" s="245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</row>
    <row r="7">
      <c r="A7" s="245"/>
      <c r="B7" s="345" t="s">
        <v>106</v>
      </c>
      <c r="C7" s="244"/>
      <c r="D7" s="345" t="s">
        <v>107</v>
      </c>
      <c r="E7" s="3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</row>
    <row r="8">
      <c r="A8" s="245"/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</row>
    <row r="9">
      <c r="A9" s="245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</row>
    <row r="10">
      <c r="A10" s="245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</row>
    <row r="11">
      <c r="A11" s="245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</row>
    <row r="12">
      <c r="A12" s="245"/>
      <c r="B12" s="245"/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</row>
    <row r="13">
      <c r="A13" s="245"/>
      <c r="B13" s="245"/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</row>
    <row r="14">
      <c r="A14" s="245"/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</row>
    <row r="15">
      <c r="A15" s="245"/>
      <c r="B15" s="245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</row>
    <row r="16">
      <c r="A16" s="245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</row>
    <row r="17">
      <c r="A17" s="245"/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</row>
    <row r="18">
      <c r="A18" s="245"/>
      <c r="B18" s="245"/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</row>
    <row r="20">
      <c r="A20" s="245"/>
      <c r="B20" s="245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</row>
    <row r="21">
      <c r="A21" s="245"/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</row>
    <row r="22">
      <c r="A22" s="245"/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</row>
    <row r="23">
      <c r="A23" s="245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</row>
    <row r="24">
      <c r="A24" s="245"/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</row>
    <row r="25">
      <c r="A25" s="245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</row>
    <row r="26">
      <c r="A26" s="245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</row>
    <row r="27">
      <c r="A27" s="245"/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</row>
    <row r="28">
      <c r="A28" s="245"/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</row>
    <row r="29">
      <c r="A29" s="245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</row>
    <row r="30">
      <c r="A30" s="245"/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</row>
    <row r="31">
      <c r="A31" s="245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</row>
    <row r="32">
      <c r="A32" s="245"/>
      <c r="B32" s="245"/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</row>
    <row r="33">
      <c r="A33" s="245"/>
      <c r="B33" s="245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</row>
    <row r="34">
      <c r="A34" s="245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</row>
    <row r="35">
      <c r="A35" s="245"/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</row>
    <row r="36">
      <c r="A36" s="245"/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</row>
    <row r="37">
      <c r="A37" s="245"/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</row>
    <row r="38">
      <c r="A38" s="245"/>
      <c r="B38" s="245"/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</row>
    <row r="39">
      <c r="A39" s="245"/>
      <c r="B39" s="245"/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</row>
    <row r="40">
      <c r="A40" s="245"/>
      <c r="B40" s="245"/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</row>
    <row r="41">
      <c r="A41" s="245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</row>
    <row r="42">
      <c r="A42" s="245"/>
      <c r="B42" s="245"/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</row>
    <row r="43">
      <c r="A43" s="245"/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</row>
    <row r="44">
      <c r="A44" s="245"/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</row>
    <row r="45">
      <c r="A45" s="245"/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</row>
    <row r="46">
      <c r="A46" s="245"/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</row>
    <row r="47">
      <c r="A47" s="245"/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</row>
    <row r="48">
      <c r="A48" s="245"/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</row>
    <row r="49">
      <c r="A49" s="245"/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</row>
    <row r="50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</row>
    <row r="51">
      <c r="A51" s="245"/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</row>
    <row r="52">
      <c r="A52" s="245"/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</row>
    <row r="53">
      <c r="A53" s="245"/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</row>
    <row r="54">
      <c r="A54" s="245"/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</row>
    <row r="55">
      <c r="A55" s="245"/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</row>
    <row r="56">
      <c r="A56" s="245"/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</row>
    <row r="57">
      <c r="A57" s="245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</row>
    <row r="58">
      <c r="A58" s="245"/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</row>
    <row r="59">
      <c r="A59" s="245"/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</row>
    <row r="60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</row>
    <row r="61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</row>
    <row r="62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</row>
    <row r="63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</row>
    <row r="64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</row>
    <row r="65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</row>
    <row r="66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</row>
    <row r="67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</row>
    <row r="68">
      <c r="A68" s="245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</row>
    <row r="69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</row>
    <row r="70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</row>
    <row r="71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</row>
    <row r="72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</row>
    <row r="73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</row>
    <row r="74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</row>
    <row r="75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</row>
    <row r="76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</row>
    <row r="77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</row>
    <row r="78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</row>
    <row r="79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</row>
    <row r="80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</row>
    <row r="81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</row>
    <row r="82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</row>
    <row r="83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</row>
    <row r="84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</row>
    <row r="85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</row>
    <row r="86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</row>
    <row r="87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</row>
    <row r="88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</row>
    <row r="89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</row>
    <row r="90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</row>
    <row r="91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</row>
    <row r="92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</row>
    <row r="93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</row>
    <row r="94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</row>
    <row r="95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</row>
    <row r="96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</row>
    <row r="97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</row>
    <row r="98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</row>
    <row r="99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</row>
    <row r="100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</row>
    <row r="101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</row>
    <row r="102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</row>
    <row r="103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</row>
    <row r="104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</row>
    <row r="105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</row>
    <row r="106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</row>
    <row r="107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</row>
    <row r="108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</row>
    <row r="109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</row>
    <row r="110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</row>
    <row r="111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</row>
    <row r="112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</row>
    <row r="113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</row>
    <row r="114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</row>
    <row r="115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</row>
    <row r="116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</row>
    <row r="117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</row>
    <row r="118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</row>
    <row r="119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</row>
    <row r="120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</row>
    <row r="121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</row>
    <row r="122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</row>
    <row r="123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</row>
    <row r="124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</row>
    <row r="125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</row>
    <row r="126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</row>
    <row r="127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</row>
    <row r="128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</row>
    <row r="129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</row>
    <row r="130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</row>
    <row r="131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</row>
    <row r="132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</row>
    <row r="133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</row>
    <row r="134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</row>
    <row r="135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</row>
    <row r="136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</row>
    <row r="137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</row>
    <row r="138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</row>
    <row r="139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</row>
    <row r="140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</row>
    <row r="141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</row>
    <row r="142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</row>
    <row r="143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</row>
    <row r="144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</row>
    <row r="145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</row>
    <row r="146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</row>
    <row r="147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</row>
    <row r="148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</row>
    <row r="149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</row>
    <row r="150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</row>
    <row r="151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</row>
    <row r="152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</row>
    <row r="153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</row>
    <row r="154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</row>
    <row r="155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</row>
    <row r="156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</row>
    <row r="157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</row>
    <row r="158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</row>
    <row r="159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</row>
    <row r="160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</row>
    <row r="161">
      <c r="A161" s="245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</row>
    <row r="162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</row>
    <row r="163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</row>
    <row r="164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</row>
    <row r="165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</row>
    <row r="166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</row>
    <row r="167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</row>
    <row r="168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</row>
    <row r="169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</row>
    <row r="170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</row>
    <row r="171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</row>
    <row r="172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</row>
    <row r="173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</row>
    <row r="174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</row>
    <row r="175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</row>
    <row r="176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</row>
    <row r="177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</row>
    <row r="178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</row>
    <row r="179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</row>
    <row r="180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</row>
    <row r="181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</row>
    <row r="182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</row>
    <row r="183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</row>
    <row r="184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</row>
    <row r="185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</row>
    <row r="186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</row>
    <row r="187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</row>
    <row r="188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</row>
    <row r="189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</row>
    <row r="190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</row>
    <row r="191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</row>
    <row r="192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</row>
    <row r="193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</row>
    <row r="194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</row>
    <row r="195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</row>
    <row r="196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</row>
    <row r="197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</row>
    <row r="198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</row>
    <row r="199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</row>
    <row r="200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</row>
    <row r="201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</row>
    <row r="202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</row>
    <row r="203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</row>
    <row r="204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</row>
    <row r="205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</row>
    <row r="206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</row>
    <row r="207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</row>
    <row r="208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</row>
    <row r="209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</row>
    <row r="210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</row>
    <row r="211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</row>
    <row r="212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</row>
    <row r="213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</row>
    <row r="214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</row>
    <row r="215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</row>
    <row r="216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</row>
    <row r="217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</row>
    <row r="218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</row>
    <row r="219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</row>
    <row r="220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</row>
    <row r="221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</row>
    <row r="222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</row>
    <row r="223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</row>
    <row r="224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</row>
    <row r="225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</row>
    <row r="226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</row>
    <row r="227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</row>
    <row r="228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</row>
    <row r="229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</row>
    <row r="230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</row>
    <row r="231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</row>
    <row r="232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</row>
    <row r="233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</row>
    <row r="234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</row>
    <row r="235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</row>
    <row r="236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</row>
    <row r="237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</row>
    <row r="238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</row>
    <row r="239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</row>
    <row r="240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</row>
    <row r="24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</row>
    <row r="242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</row>
    <row r="243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</row>
    <row r="244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</row>
    <row r="245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</row>
    <row r="246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</row>
    <row r="247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</row>
    <row r="248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</row>
    <row r="249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</row>
    <row r="250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</row>
    <row r="25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</row>
    <row r="252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</row>
    <row r="253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</row>
    <row r="254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</row>
    <row r="255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</row>
    <row r="256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</row>
    <row r="257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</row>
    <row r="258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</row>
    <row r="259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</row>
    <row r="260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</row>
    <row r="26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</row>
    <row r="262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</row>
    <row r="263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</row>
    <row r="264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</row>
    <row r="265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</row>
    <row r="266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</row>
    <row r="267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</row>
    <row r="268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</row>
    <row r="269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</row>
    <row r="270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</row>
    <row r="27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</row>
    <row r="272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</row>
    <row r="273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</row>
    <row r="274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</row>
    <row r="275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</row>
    <row r="276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</row>
    <row r="277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</row>
    <row r="278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</row>
    <row r="279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</row>
    <row r="280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</row>
    <row r="28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</row>
    <row r="282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</row>
    <row r="283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</row>
    <row r="284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</row>
    <row r="285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</row>
    <row r="286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</row>
    <row r="287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</row>
    <row r="288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</row>
    <row r="289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</row>
    <row r="290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</row>
    <row r="29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</row>
    <row r="292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</row>
    <row r="293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</row>
    <row r="294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</row>
    <row r="295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</row>
    <row r="296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</row>
    <row r="297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</row>
    <row r="298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</row>
    <row r="299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</row>
    <row r="300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</row>
    <row r="30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</row>
    <row r="302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</row>
    <row r="303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</row>
    <row r="304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</row>
    <row r="305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</row>
    <row r="306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</row>
    <row r="307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</row>
    <row r="308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</row>
    <row r="309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</row>
    <row r="310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</row>
    <row r="31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</row>
    <row r="312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</row>
    <row r="313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</row>
    <row r="314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</row>
    <row r="315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</row>
    <row r="316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</row>
    <row r="317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</row>
    <row r="318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</row>
    <row r="319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</row>
    <row r="320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</row>
    <row r="32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</row>
    <row r="322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</row>
    <row r="323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</row>
    <row r="324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</row>
    <row r="325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</row>
    <row r="326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</row>
    <row r="327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</row>
    <row r="328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</row>
    <row r="329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</row>
    <row r="330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</row>
    <row r="33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</row>
    <row r="332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</row>
    <row r="333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</row>
    <row r="334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</row>
    <row r="335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</row>
    <row r="336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</row>
    <row r="337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</row>
    <row r="338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</row>
    <row r="339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</row>
    <row r="340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</row>
    <row r="34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</row>
    <row r="342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</row>
    <row r="343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</row>
    <row r="344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</row>
    <row r="345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</row>
    <row r="346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</row>
    <row r="347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</row>
    <row r="348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</row>
    <row r="349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</row>
    <row r="350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</row>
    <row r="35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</row>
    <row r="352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</row>
    <row r="353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</row>
    <row r="354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</row>
    <row r="355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</row>
    <row r="356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</row>
    <row r="357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</row>
    <row r="358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</row>
    <row r="359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</row>
    <row r="360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</row>
    <row r="36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</row>
    <row r="362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</row>
    <row r="363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</row>
    <row r="364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</row>
    <row r="365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</row>
    <row r="366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</row>
    <row r="367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</row>
    <row r="368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</row>
    <row r="369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</row>
    <row r="370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</row>
    <row r="37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</row>
    <row r="372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</row>
    <row r="373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</row>
    <row r="374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</row>
    <row r="375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</row>
    <row r="376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</row>
    <row r="377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</row>
    <row r="378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</row>
    <row r="379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</row>
    <row r="380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</row>
    <row r="38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</row>
    <row r="382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</row>
    <row r="383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</row>
    <row r="384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</row>
    <row r="385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</row>
    <row r="386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</row>
    <row r="387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</row>
    <row r="388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</row>
    <row r="389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</row>
    <row r="390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</row>
    <row r="39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</row>
    <row r="392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</row>
    <row r="393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</row>
    <row r="394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</row>
    <row r="395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</row>
    <row r="396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</row>
    <row r="397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</row>
    <row r="398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</row>
    <row r="399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</row>
    <row r="400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</row>
    <row r="40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</row>
    <row r="402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</row>
    <row r="403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</row>
    <row r="404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</row>
    <row r="405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</row>
    <row r="406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</row>
    <row r="407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</row>
    <row r="408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</row>
    <row r="409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</row>
    <row r="410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</row>
    <row r="41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</row>
    <row r="412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</row>
    <row r="413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</row>
    <row r="414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</row>
    <row r="415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</row>
    <row r="416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</row>
    <row r="417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</row>
    <row r="418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</row>
    <row r="419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</row>
    <row r="420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</row>
    <row r="42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</row>
    <row r="422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</row>
    <row r="423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</row>
    <row r="424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</row>
    <row r="425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</row>
    <row r="426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</row>
    <row r="427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</row>
    <row r="428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</row>
    <row r="429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</row>
    <row r="430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</row>
    <row r="43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</row>
    <row r="432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</row>
    <row r="433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</row>
    <row r="434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</row>
    <row r="435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</row>
    <row r="436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</row>
    <row r="437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</row>
    <row r="438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</row>
    <row r="439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</row>
    <row r="440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</row>
    <row r="44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</row>
    <row r="442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</row>
    <row r="443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</row>
    <row r="444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</row>
    <row r="445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</row>
    <row r="446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</row>
    <row r="447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</row>
    <row r="448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</row>
    <row r="449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</row>
    <row r="450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</row>
    <row r="45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</row>
    <row r="452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</row>
    <row r="453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</row>
    <row r="454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</row>
    <row r="455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</row>
    <row r="456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</row>
    <row r="457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</row>
    <row r="458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</row>
    <row r="459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</row>
    <row r="460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</row>
    <row r="46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</row>
    <row r="462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</row>
    <row r="463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</row>
    <row r="464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</row>
    <row r="465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</row>
    <row r="466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</row>
    <row r="467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</row>
    <row r="468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</row>
    <row r="469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</row>
    <row r="470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</row>
    <row r="47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</row>
    <row r="472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</row>
    <row r="473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</row>
    <row r="474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</row>
    <row r="475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</row>
    <row r="476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</row>
    <row r="477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</row>
    <row r="478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</row>
    <row r="479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</row>
    <row r="480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</row>
    <row r="48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</row>
    <row r="482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</row>
    <row r="483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</row>
    <row r="484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</row>
    <row r="485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</row>
    <row r="486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</row>
    <row r="487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</row>
    <row r="488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</row>
    <row r="489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</row>
    <row r="490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</row>
    <row r="49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</row>
    <row r="492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</row>
    <row r="493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</row>
    <row r="494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</row>
    <row r="495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</row>
    <row r="496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</row>
    <row r="497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</row>
    <row r="498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</row>
    <row r="499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</row>
    <row r="500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</row>
    <row r="50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</row>
    <row r="502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</row>
    <row r="503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</row>
    <row r="504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</row>
    <row r="505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</row>
    <row r="506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</row>
    <row r="507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</row>
    <row r="508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</row>
    <row r="509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</row>
    <row r="510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</row>
    <row r="51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</row>
    <row r="512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</row>
    <row r="513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</row>
    <row r="514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</row>
    <row r="515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</row>
    <row r="516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</row>
    <row r="517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</row>
    <row r="518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</row>
    <row r="519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</row>
    <row r="520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</row>
    <row r="52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</row>
    <row r="522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</row>
    <row r="523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</row>
    <row r="524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</row>
    <row r="525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</row>
    <row r="526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</row>
    <row r="527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</row>
    <row r="528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</row>
    <row r="529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</row>
    <row r="530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</row>
    <row r="53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</row>
    <row r="532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</row>
    <row r="533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</row>
    <row r="534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</row>
    <row r="535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</row>
    <row r="536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</row>
    <row r="537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</row>
    <row r="538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</row>
    <row r="539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</row>
    <row r="540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</row>
    <row r="54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</row>
    <row r="542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</row>
    <row r="543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</row>
    <row r="544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</row>
    <row r="545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</row>
    <row r="546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</row>
    <row r="547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</row>
    <row r="548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</row>
    <row r="549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</row>
    <row r="550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</row>
    <row r="55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</row>
    <row r="552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</row>
    <row r="553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</row>
    <row r="554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</row>
    <row r="555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</row>
    <row r="556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</row>
    <row r="557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</row>
    <row r="558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</row>
    <row r="559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</row>
    <row r="560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</row>
    <row r="56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</row>
    <row r="562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</row>
    <row r="563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</row>
    <row r="564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</row>
    <row r="565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</row>
    <row r="566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</row>
    <row r="567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</row>
    <row r="568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</row>
    <row r="569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</row>
    <row r="570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</row>
    <row r="57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</row>
    <row r="572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</row>
    <row r="573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</row>
    <row r="574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</row>
    <row r="575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</row>
    <row r="576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</row>
    <row r="577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</row>
    <row r="578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</row>
    <row r="579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</row>
    <row r="580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</row>
    <row r="58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</row>
    <row r="582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</row>
    <row r="583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</row>
    <row r="584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</row>
    <row r="585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</row>
    <row r="586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</row>
    <row r="587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</row>
    <row r="588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</row>
    <row r="589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</row>
    <row r="590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</row>
    <row r="59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</row>
    <row r="592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</row>
    <row r="593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</row>
    <row r="594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</row>
    <row r="595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</row>
    <row r="596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</row>
    <row r="597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</row>
    <row r="598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</row>
    <row r="599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</row>
    <row r="600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</row>
    <row r="60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</row>
    <row r="602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</row>
    <row r="603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</row>
    <row r="604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</row>
    <row r="605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</row>
    <row r="606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</row>
    <row r="607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</row>
    <row r="608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</row>
    <row r="609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</row>
    <row r="610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</row>
    <row r="61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</row>
    <row r="612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</row>
    <row r="613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</row>
    <row r="614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</row>
    <row r="615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</row>
    <row r="616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</row>
    <row r="617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</row>
    <row r="618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</row>
    <row r="619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</row>
    <row r="620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</row>
    <row r="62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</row>
    <row r="622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</row>
    <row r="623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</row>
    <row r="624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</row>
    <row r="625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</row>
    <row r="626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</row>
    <row r="627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</row>
    <row r="628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</row>
    <row r="629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</row>
    <row r="630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</row>
    <row r="63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</row>
    <row r="632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</row>
    <row r="633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</row>
    <row r="634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</row>
    <row r="635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</row>
    <row r="636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</row>
    <row r="637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</row>
    <row r="638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</row>
    <row r="639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</row>
    <row r="640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</row>
    <row r="64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</row>
    <row r="642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</row>
    <row r="643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</row>
    <row r="644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</row>
    <row r="645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</row>
    <row r="646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</row>
    <row r="647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</row>
    <row r="648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</row>
    <row r="649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</row>
    <row r="650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</row>
    <row r="65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</row>
    <row r="652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</row>
    <row r="653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</row>
    <row r="654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</row>
    <row r="655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</row>
    <row r="656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</row>
    <row r="657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</row>
    <row r="658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</row>
    <row r="659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</row>
    <row r="660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</row>
    <row r="66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</row>
    <row r="662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</row>
    <row r="663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</row>
    <row r="664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</row>
    <row r="665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</row>
    <row r="666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</row>
    <row r="667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</row>
    <row r="668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</row>
    <row r="669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</row>
    <row r="670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</row>
    <row r="67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</row>
    <row r="672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</row>
    <row r="673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</row>
    <row r="674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</row>
    <row r="675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</row>
    <row r="676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</row>
    <row r="677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</row>
    <row r="678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</row>
    <row r="679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</row>
    <row r="680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</row>
    <row r="68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</row>
    <row r="682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</row>
    <row r="683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</row>
    <row r="684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</row>
    <row r="685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</row>
    <row r="686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</row>
    <row r="687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</row>
    <row r="688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</row>
    <row r="689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</row>
    <row r="690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</row>
    <row r="69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</row>
    <row r="692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</row>
    <row r="693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</row>
    <row r="694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</row>
    <row r="695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</row>
    <row r="696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</row>
    <row r="697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</row>
    <row r="698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</row>
    <row r="699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</row>
    <row r="700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</row>
    <row r="70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</row>
    <row r="702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</row>
    <row r="703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</row>
    <row r="704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</row>
    <row r="705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</row>
    <row r="706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</row>
    <row r="707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</row>
    <row r="708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</row>
    <row r="709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</row>
    <row r="710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</row>
    <row r="71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</row>
    <row r="712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</row>
    <row r="713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</row>
    <row r="714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</row>
    <row r="715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</row>
    <row r="716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</row>
    <row r="717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</row>
    <row r="718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</row>
    <row r="719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</row>
    <row r="720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</row>
    <row r="72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</row>
    <row r="722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</row>
    <row r="723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</row>
    <row r="724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</row>
    <row r="725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</row>
    <row r="726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</row>
    <row r="727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</row>
    <row r="728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</row>
    <row r="729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</row>
    <row r="730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</row>
    <row r="73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</row>
    <row r="732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</row>
    <row r="733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</row>
    <row r="734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</row>
    <row r="735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</row>
    <row r="736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</row>
    <row r="737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</row>
    <row r="738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</row>
    <row r="739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</row>
    <row r="740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</row>
    <row r="74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</row>
    <row r="742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</row>
    <row r="743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</row>
    <row r="744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</row>
    <row r="745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</row>
    <row r="746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</row>
    <row r="747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</row>
    <row r="748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</row>
    <row r="749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</row>
    <row r="750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</row>
    <row r="75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</row>
    <row r="752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</row>
    <row r="753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</row>
    <row r="754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</row>
    <row r="755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</row>
    <row r="756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</row>
    <row r="757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</row>
    <row r="758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</row>
    <row r="759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</row>
    <row r="760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</row>
    <row r="76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</row>
    <row r="762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</row>
    <row r="763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</row>
    <row r="764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</row>
    <row r="765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</row>
    <row r="766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</row>
    <row r="767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</row>
    <row r="768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</row>
    <row r="769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</row>
    <row r="770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</row>
    <row r="77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</row>
    <row r="772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</row>
    <row r="773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</row>
    <row r="774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</row>
    <row r="775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</row>
    <row r="776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</row>
    <row r="777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</row>
    <row r="778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</row>
    <row r="779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</row>
    <row r="780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</row>
    <row r="78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</row>
    <row r="782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</row>
    <row r="783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</row>
    <row r="784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</row>
    <row r="785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</row>
    <row r="786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</row>
    <row r="787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</row>
    <row r="788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</row>
    <row r="789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</row>
    <row r="790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</row>
    <row r="79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</row>
    <row r="792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</row>
    <row r="793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</row>
    <row r="794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</row>
    <row r="795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</row>
    <row r="796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</row>
    <row r="797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</row>
    <row r="798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</row>
    <row r="799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</row>
    <row r="800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</row>
    <row r="80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</row>
    <row r="802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</row>
    <row r="803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</row>
    <row r="804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</row>
    <row r="805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</row>
    <row r="806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</row>
    <row r="807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</row>
    <row r="808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</row>
    <row r="809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</row>
    <row r="810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</row>
    <row r="81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</row>
    <row r="812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</row>
    <row r="813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</row>
    <row r="814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</row>
    <row r="815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</row>
    <row r="816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</row>
    <row r="817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</row>
    <row r="818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</row>
    <row r="819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</row>
    <row r="820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</row>
    <row r="82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</row>
    <row r="822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</row>
    <row r="823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</row>
    <row r="824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</row>
    <row r="825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</row>
    <row r="826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</row>
    <row r="827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</row>
    <row r="828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</row>
    <row r="829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</row>
    <row r="830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</row>
    <row r="83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</row>
    <row r="832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</row>
    <row r="833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</row>
    <row r="834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</row>
    <row r="835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</row>
    <row r="836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</row>
    <row r="837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</row>
    <row r="838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</row>
    <row r="839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</row>
    <row r="840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</row>
    <row r="84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</row>
    <row r="842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</row>
    <row r="843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</row>
    <row r="844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</row>
    <row r="845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</row>
    <row r="846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</row>
    <row r="847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</row>
    <row r="848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</row>
    <row r="849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</row>
    <row r="850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</row>
    <row r="85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</row>
    <row r="852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</row>
    <row r="853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</row>
    <row r="854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</row>
    <row r="855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</row>
    <row r="856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</row>
    <row r="857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</row>
    <row r="858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</row>
    <row r="859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</row>
    <row r="860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</row>
    <row r="86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</row>
    <row r="862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</row>
    <row r="863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</row>
    <row r="864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</row>
    <row r="865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</row>
    <row r="866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</row>
    <row r="867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</row>
    <row r="868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</row>
    <row r="869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</row>
    <row r="870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</row>
    <row r="87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</row>
    <row r="872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</row>
    <row r="873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</row>
    <row r="874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</row>
    <row r="875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</row>
    <row r="876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</row>
    <row r="877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</row>
    <row r="878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</row>
    <row r="879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</row>
    <row r="880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</row>
    <row r="88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</row>
    <row r="882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</row>
    <row r="883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</row>
    <row r="884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</row>
    <row r="885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</row>
    <row r="886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</row>
    <row r="887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</row>
    <row r="888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</row>
    <row r="889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</row>
    <row r="890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</row>
    <row r="89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</row>
    <row r="892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</row>
    <row r="893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</row>
    <row r="894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</row>
    <row r="895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</row>
    <row r="896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</row>
    <row r="897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</row>
    <row r="898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</row>
    <row r="899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</row>
    <row r="900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</row>
    <row r="90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</row>
    <row r="902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</row>
    <row r="903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</row>
    <row r="904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</row>
    <row r="905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</row>
    <row r="906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</row>
    <row r="907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</row>
    <row r="908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</row>
    <row r="909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</row>
    <row r="910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</row>
    <row r="91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</row>
    <row r="912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</row>
    <row r="913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</row>
    <row r="914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</row>
    <row r="915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</row>
    <row r="916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</row>
    <row r="917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</row>
    <row r="918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</row>
    <row r="919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</row>
    <row r="920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</row>
    <row r="92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</row>
    <row r="922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</row>
    <row r="923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</row>
    <row r="924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</row>
    <row r="925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</row>
    <row r="926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</row>
    <row r="927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</row>
    <row r="928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</row>
    <row r="929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</row>
    <row r="930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</row>
    <row r="93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</row>
    <row r="932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</row>
    <row r="933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</row>
    <row r="934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</row>
    <row r="935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</row>
    <row r="936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</row>
    <row r="937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</row>
    <row r="938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</row>
    <row r="939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</row>
    <row r="940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</row>
    <row r="94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</row>
    <row r="942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</row>
    <row r="943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</row>
    <row r="944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</row>
    <row r="945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</row>
    <row r="946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</row>
    <row r="947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</row>
    <row r="948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</row>
    <row r="949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</row>
    <row r="950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</row>
    <row r="95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</row>
    <row r="952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</row>
    <row r="953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</row>
    <row r="954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</row>
    <row r="955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</row>
    <row r="956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</row>
    <row r="957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</row>
    <row r="958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</row>
    <row r="959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</row>
    <row r="960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</row>
    <row r="96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</row>
    <row r="962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</row>
    <row r="963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</row>
    <row r="964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</row>
    <row r="965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</row>
    <row r="966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</row>
    <row r="967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</row>
    <row r="968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</row>
    <row r="969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</row>
    <row r="970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</row>
    <row r="97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</row>
    <row r="972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</row>
    <row r="973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</row>
    <row r="974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</row>
    <row r="975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</row>
    <row r="976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</row>
    <row r="977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</row>
    <row r="978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</row>
    <row r="979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</row>
    <row r="980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</row>
    <row r="98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</row>
    <row r="982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0.13"/>
    <col customWidth="1" min="3" max="4" width="32.0"/>
    <col customWidth="1" min="5" max="5" width="9.88"/>
    <col customWidth="1" min="6" max="6" width="18.13"/>
    <col customWidth="1" min="7" max="8" width="23.63"/>
    <col customWidth="1" min="13" max="13" width="9.88"/>
    <col customWidth="1" min="14" max="14" width="14.75"/>
    <col customWidth="1" min="15" max="15" width="17.38"/>
    <col customWidth="1" min="18" max="18" width="21.88"/>
  </cols>
  <sheetData>
    <row r="1" ht="15.75" customHeight="1">
      <c r="A1" s="383" t="s">
        <v>0</v>
      </c>
      <c r="B1" s="384"/>
      <c r="C1" s="385"/>
      <c r="D1" s="385"/>
      <c r="E1" s="385"/>
      <c r="F1" s="384"/>
      <c r="G1" s="386"/>
      <c r="H1" s="386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7"/>
      <c r="T1" s="387"/>
      <c r="U1" s="387"/>
      <c r="V1" s="387"/>
      <c r="W1" s="387"/>
    </row>
    <row r="2" ht="15.75" customHeight="1">
      <c r="A2" s="388"/>
      <c r="B2" s="389"/>
      <c r="C2" s="388"/>
      <c r="D2" s="388"/>
      <c r="E2" s="388"/>
      <c r="F2" s="389"/>
      <c r="G2" s="390"/>
      <c r="H2" s="390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91"/>
      <c r="T2" s="391"/>
      <c r="U2" s="391"/>
      <c r="V2" s="391"/>
      <c r="W2" s="391"/>
    </row>
    <row r="3" ht="15.75" customHeight="1">
      <c r="A3" s="74" t="s">
        <v>2</v>
      </c>
      <c r="B3" s="74" t="s">
        <v>3</v>
      </c>
      <c r="C3" s="74" t="s">
        <v>4</v>
      </c>
      <c r="D3" s="74" t="s">
        <v>5</v>
      </c>
      <c r="E3" s="74" t="s">
        <v>7</v>
      </c>
      <c r="F3" s="74" t="s">
        <v>913</v>
      </c>
      <c r="G3" s="74" t="s">
        <v>9</v>
      </c>
      <c r="H3" s="76" t="s">
        <v>10</v>
      </c>
      <c r="I3" s="74" t="s">
        <v>110</v>
      </c>
      <c r="J3" s="74" t="s">
        <v>12</v>
      </c>
      <c r="K3" s="74" t="s">
        <v>914</v>
      </c>
      <c r="L3" s="74" t="s">
        <v>915</v>
      </c>
      <c r="M3" s="74" t="s">
        <v>916</v>
      </c>
      <c r="N3" s="74" t="s">
        <v>16</v>
      </c>
      <c r="O3" s="74" t="s">
        <v>17</v>
      </c>
      <c r="P3" s="74" t="s">
        <v>18</v>
      </c>
      <c r="Q3" s="74" t="s">
        <v>19</v>
      </c>
      <c r="R3" s="77" t="s">
        <v>917</v>
      </c>
      <c r="S3" s="392"/>
      <c r="T3" s="392"/>
      <c r="U3" s="392"/>
      <c r="V3" s="392"/>
      <c r="W3" s="392"/>
    </row>
    <row r="4" ht="15.75" hidden="1" customHeight="1">
      <c r="A4" s="343">
        <v>1.0</v>
      </c>
      <c r="B4" s="358" t="s">
        <v>918</v>
      </c>
      <c r="C4" s="304" t="s">
        <v>182</v>
      </c>
      <c r="D4" s="304" t="s">
        <v>919</v>
      </c>
      <c r="E4" s="393">
        <v>0.1725</v>
      </c>
      <c r="F4" s="393">
        <v>0.185</v>
      </c>
      <c r="G4" s="394" t="s">
        <v>920</v>
      </c>
      <c r="H4" s="394" t="s">
        <v>921</v>
      </c>
      <c r="I4" s="358" t="s">
        <v>55</v>
      </c>
      <c r="J4" s="358" t="s">
        <v>922</v>
      </c>
      <c r="K4" s="344">
        <v>46023.0</v>
      </c>
      <c r="L4" s="344">
        <v>46387.0</v>
      </c>
      <c r="M4" s="326">
        <f t="shared" ref="M4:M25" si="1">INT(NETWORKDAYS(K4,L4)/5)</f>
        <v>52</v>
      </c>
      <c r="N4" s="382"/>
      <c r="O4" s="304"/>
      <c r="P4" s="304"/>
      <c r="Q4" s="304"/>
      <c r="R4" s="304"/>
      <c r="S4" s="391"/>
      <c r="T4" s="391"/>
      <c r="U4" s="391"/>
      <c r="V4" s="391"/>
      <c r="W4" s="391"/>
    </row>
    <row r="5" ht="15.75" hidden="1" customHeight="1">
      <c r="A5" s="343">
        <v>2.0</v>
      </c>
      <c r="B5" s="358"/>
      <c r="C5" s="304"/>
      <c r="D5" s="304"/>
      <c r="E5" s="304"/>
      <c r="F5" s="358"/>
      <c r="G5" s="394" t="s">
        <v>923</v>
      </c>
      <c r="H5" s="394" t="s">
        <v>924</v>
      </c>
      <c r="I5" s="304"/>
      <c r="J5" s="304"/>
      <c r="K5" s="344">
        <v>46023.0</v>
      </c>
      <c r="L5" s="344">
        <v>46387.0</v>
      </c>
      <c r="M5" s="326">
        <f t="shared" si="1"/>
        <v>52</v>
      </c>
      <c r="N5" s="382"/>
      <c r="O5" s="304"/>
      <c r="P5" s="304"/>
      <c r="Q5" s="304"/>
      <c r="R5" s="304"/>
      <c r="S5" s="391"/>
      <c r="T5" s="391"/>
      <c r="U5" s="391"/>
      <c r="V5" s="391"/>
      <c r="W5" s="391"/>
    </row>
    <row r="6" ht="15.75" customHeight="1">
      <c r="A6" s="343">
        <v>3.0</v>
      </c>
      <c r="B6" s="358" t="s">
        <v>925</v>
      </c>
      <c r="C6" s="304" t="s">
        <v>77</v>
      </c>
      <c r="D6" s="304" t="s">
        <v>77</v>
      </c>
      <c r="E6" s="304"/>
      <c r="F6" s="358"/>
      <c r="G6" s="394"/>
      <c r="H6" s="394"/>
      <c r="I6" s="304"/>
      <c r="J6" s="304"/>
      <c r="K6" s="344">
        <v>46023.0</v>
      </c>
      <c r="L6" s="344">
        <v>46387.0</v>
      </c>
      <c r="M6" s="326">
        <f t="shared" si="1"/>
        <v>52</v>
      </c>
      <c r="N6" s="382"/>
      <c r="O6" s="304"/>
      <c r="P6" s="304"/>
      <c r="Q6" s="304"/>
      <c r="R6" s="304"/>
      <c r="S6" s="391"/>
      <c r="T6" s="391"/>
      <c r="U6" s="391"/>
      <c r="V6" s="391"/>
      <c r="W6" s="391"/>
    </row>
    <row r="7" ht="15.75" customHeight="1">
      <c r="A7" s="343">
        <v>4.0</v>
      </c>
      <c r="B7" s="358"/>
      <c r="C7" s="304"/>
      <c r="D7" s="304"/>
      <c r="E7" s="304"/>
      <c r="F7" s="358"/>
      <c r="G7" s="394"/>
      <c r="H7" s="394"/>
      <c r="I7" s="304"/>
      <c r="J7" s="304"/>
      <c r="K7" s="344">
        <v>46023.0</v>
      </c>
      <c r="L7" s="344">
        <v>46387.0</v>
      </c>
      <c r="M7" s="326">
        <f t="shared" si="1"/>
        <v>52</v>
      </c>
      <c r="N7" s="382"/>
      <c r="O7" s="304"/>
      <c r="P7" s="304"/>
      <c r="Q7" s="304"/>
      <c r="R7" s="304"/>
      <c r="S7" s="391"/>
      <c r="T7" s="391"/>
      <c r="U7" s="391"/>
      <c r="V7" s="391"/>
      <c r="W7" s="391"/>
    </row>
    <row r="8" ht="15.75" customHeight="1">
      <c r="A8" s="343">
        <v>5.0</v>
      </c>
      <c r="B8" s="358"/>
      <c r="C8" s="304"/>
      <c r="D8" s="304"/>
      <c r="E8" s="304"/>
      <c r="F8" s="358"/>
      <c r="G8" s="394"/>
      <c r="H8" s="394"/>
      <c r="I8" s="304"/>
      <c r="J8" s="304"/>
      <c r="K8" s="344">
        <v>46023.0</v>
      </c>
      <c r="L8" s="344">
        <v>46387.0</v>
      </c>
      <c r="M8" s="326">
        <f t="shared" si="1"/>
        <v>52</v>
      </c>
      <c r="N8" s="382"/>
      <c r="O8" s="304"/>
      <c r="P8" s="304"/>
      <c r="Q8" s="304"/>
      <c r="R8" s="304"/>
      <c r="S8" s="391"/>
      <c r="T8" s="391"/>
      <c r="U8" s="391"/>
      <c r="V8" s="391"/>
      <c r="W8" s="391"/>
    </row>
    <row r="9" ht="15.75" customHeight="1">
      <c r="A9" s="343">
        <v>6.0</v>
      </c>
      <c r="B9" s="358"/>
      <c r="C9" s="304"/>
      <c r="D9" s="304"/>
      <c r="E9" s="304"/>
      <c r="F9" s="358"/>
      <c r="G9" s="394"/>
      <c r="H9" s="394"/>
      <c r="I9" s="304"/>
      <c r="J9" s="304"/>
      <c r="K9" s="344">
        <v>46023.0</v>
      </c>
      <c r="L9" s="344">
        <v>46387.0</v>
      </c>
      <c r="M9" s="326">
        <f t="shared" si="1"/>
        <v>52</v>
      </c>
      <c r="N9" s="382"/>
      <c r="O9" s="304"/>
      <c r="P9" s="304"/>
      <c r="Q9" s="304"/>
      <c r="R9" s="304"/>
      <c r="S9" s="391"/>
      <c r="T9" s="391"/>
      <c r="U9" s="391"/>
      <c r="V9" s="391"/>
      <c r="W9" s="391"/>
    </row>
    <row r="10" ht="15.75" customHeight="1">
      <c r="A10" s="343">
        <v>7.0</v>
      </c>
      <c r="B10" s="358"/>
      <c r="C10" s="304"/>
      <c r="D10" s="304"/>
      <c r="E10" s="304"/>
      <c r="F10" s="358"/>
      <c r="G10" s="394"/>
      <c r="H10" s="394"/>
      <c r="I10" s="304"/>
      <c r="J10" s="304"/>
      <c r="K10" s="344">
        <v>46023.0</v>
      </c>
      <c r="L10" s="344">
        <v>46387.0</v>
      </c>
      <c r="M10" s="326">
        <f t="shared" si="1"/>
        <v>52</v>
      </c>
      <c r="N10" s="382"/>
      <c r="O10" s="304"/>
      <c r="P10" s="304"/>
      <c r="Q10" s="304"/>
      <c r="R10" s="304"/>
      <c r="S10" s="391"/>
      <c r="T10" s="391"/>
      <c r="U10" s="391"/>
      <c r="V10" s="391"/>
      <c r="W10" s="391"/>
    </row>
    <row r="11" ht="15.75" customHeight="1">
      <c r="A11" s="343">
        <v>8.0</v>
      </c>
      <c r="B11" s="358"/>
      <c r="C11" s="304"/>
      <c r="D11" s="304"/>
      <c r="E11" s="304"/>
      <c r="F11" s="358"/>
      <c r="G11" s="394"/>
      <c r="H11" s="394"/>
      <c r="I11" s="304"/>
      <c r="J11" s="304"/>
      <c r="K11" s="344">
        <v>46023.0</v>
      </c>
      <c r="L11" s="344">
        <v>46387.0</v>
      </c>
      <c r="M11" s="326">
        <f t="shared" si="1"/>
        <v>52</v>
      </c>
      <c r="N11" s="382"/>
      <c r="O11" s="304"/>
      <c r="P11" s="304"/>
      <c r="Q11" s="304"/>
      <c r="R11" s="304"/>
      <c r="S11" s="391"/>
      <c r="T11" s="391"/>
      <c r="U11" s="391"/>
      <c r="V11" s="391"/>
      <c r="W11" s="391"/>
    </row>
    <row r="12" ht="15.75" customHeight="1">
      <c r="A12" s="343">
        <v>9.0</v>
      </c>
      <c r="B12" s="358"/>
      <c r="C12" s="304"/>
      <c r="D12" s="304"/>
      <c r="E12" s="304"/>
      <c r="F12" s="358"/>
      <c r="G12" s="394"/>
      <c r="H12" s="394"/>
      <c r="I12" s="304"/>
      <c r="J12" s="304"/>
      <c r="K12" s="344">
        <v>46023.0</v>
      </c>
      <c r="L12" s="344">
        <v>46387.0</v>
      </c>
      <c r="M12" s="326">
        <f t="shared" si="1"/>
        <v>52</v>
      </c>
      <c r="N12" s="382"/>
      <c r="O12" s="304"/>
      <c r="P12" s="304"/>
      <c r="Q12" s="304"/>
      <c r="R12" s="304"/>
      <c r="S12" s="391"/>
      <c r="T12" s="391"/>
      <c r="U12" s="391"/>
      <c r="V12" s="391"/>
      <c r="W12" s="391"/>
    </row>
    <row r="13" ht="15.75" customHeight="1">
      <c r="A13" s="343">
        <v>10.0</v>
      </c>
      <c r="B13" s="358"/>
      <c r="C13" s="304"/>
      <c r="D13" s="304"/>
      <c r="E13" s="304"/>
      <c r="F13" s="358"/>
      <c r="G13" s="394"/>
      <c r="H13" s="394"/>
      <c r="I13" s="304"/>
      <c r="J13" s="304"/>
      <c r="K13" s="344">
        <v>46023.0</v>
      </c>
      <c r="L13" s="344">
        <v>46387.0</v>
      </c>
      <c r="M13" s="326">
        <f t="shared" si="1"/>
        <v>52</v>
      </c>
      <c r="N13" s="382"/>
      <c r="O13" s="304"/>
      <c r="P13" s="304"/>
      <c r="Q13" s="304"/>
      <c r="R13" s="304"/>
      <c r="S13" s="391"/>
      <c r="T13" s="391"/>
      <c r="U13" s="391"/>
      <c r="V13" s="391"/>
      <c r="W13" s="391"/>
    </row>
    <row r="14" ht="15.75" customHeight="1">
      <c r="A14" s="343">
        <v>11.0</v>
      </c>
      <c r="B14" s="358"/>
      <c r="C14" s="304"/>
      <c r="D14" s="304"/>
      <c r="E14" s="304"/>
      <c r="F14" s="358"/>
      <c r="G14" s="394"/>
      <c r="H14" s="394"/>
      <c r="I14" s="304"/>
      <c r="J14" s="304"/>
      <c r="K14" s="344">
        <v>46023.0</v>
      </c>
      <c r="L14" s="344">
        <v>46387.0</v>
      </c>
      <c r="M14" s="326">
        <f t="shared" si="1"/>
        <v>52</v>
      </c>
      <c r="N14" s="382"/>
      <c r="O14" s="304"/>
      <c r="P14" s="304"/>
      <c r="Q14" s="304"/>
      <c r="R14" s="304"/>
      <c r="S14" s="391"/>
      <c r="T14" s="391"/>
      <c r="U14" s="391"/>
      <c r="V14" s="391"/>
      <c r="W14" s="391"/>
    </row>
    <row r="15" ht="15.75" customHeight="1">
      <c r="A15" s="343">
        <v>12.0</v>
      </c>
      <c r="B15" s="358"/>
      <c r="C15" s="304"/>
      <c r="D15" s="304"/>
      <c r="E15" s="304"/>
      <c r="F15" s="358"/>
      <c r="G15" s="394"/>
      <c r="H15" s="394"/>
      <c r="I15" s="304"/>
      <c r="J15" s="304"/>
      <c r="K15" s="344">
        <v>46023.0</v>
      </c>
      <c r="L15" s="344">
        <v>46387.0</v>
      </c>
      <c r="M15" s="326">
        <f t="shared" si="1"/>
        <v>52</v>
      </c>
      <c r="N15" s="382"/>
      <c r="O15" s="304"/>
      <c r="P15" s="304"/>
      <c r="Q15" s="304"/>
      <c r="R15" s="304"/>
      <c r="S15" s="391"/>
      <c r="T15" s="391"/>
      <c r="U15" s="391"/>
      <c r="V15" s="391"/>
      <c r="W15" s="391"/>
    </row>
    <row r="16" ht="15.75" customHeight="1">
      <c r="A16" s="343">
        <v>13.0</v>
      </c>
      <c r="B16" s="358"/>
      <c r="C16" s="304"/>
      <c r="D16" s="304"/>
      <c r="E16" s="304"/>
      <c r="F16" s="358"/>
      <c r="G16" s="394"/>
      <c r="H16" s="394"/>
      <c r="I16" s="304"/>
      <c r="J16" s="304"/>
      <c r="K16" s="344">
        <v>46023.0</v>
      </c>
      <c r="L16" s="344">
        <v>46387.0</v>
      </c>
      <c r="M16" s="326">
        <f t="shared" si="1"/>
        <v>52</v>
      </c>
      <c r="N16" s="382"/>
      <c r="O16" s="304"/>
      <c r="P16" s="304"/>
      <c r="Q16" s="304"/>
      <c r="R16" s="304"/>
      <c r="S16" s="391"/>
      <c r="T16" s="391"/>
      <c r="U16" s="391"/>
      <c r="V16" s="391"/>
      <c r="W16" s="391"/>
    </row>
    <row r="17" ht="15.75" customHeight="1">
      <c r="A17" s="343">
        <v>14.0</v>
      </c>
      <c r="B17" s="358"/>
      <c r="C17" s="304"/>
      <c r="D17" s="304"/>
      <c r="E17" s="304"/>
      <c r="F17" s="358"/>
      <c r="G17" s="394"/>
      <c r="H17" s="394"/>
      <c r="I17" s="304"/>
      <c r="J17" s="304"/>
      <c r="K17" s="344">
        <v>46023.0</v>
      </c>
      <c r="L17" s="344">
        <v>46387.0</v>
      </c>
      <c r="M17" s="326">
        <f t="shared" si="1"/>
        <v>52</v>
      </c>
      <c r="N17" s="382"/>
      <c r="O17" s="304"/>
      <c r="P17" s="304"/>
      <c r="Q17" s="304"/>
      <c r="R17" s="304"/>
      <c r="S17" s="391"/>
      <c r="T17" s="391"/>
      <c r="U17" s="391"/>
      <c r="V17" s="391"/>
      <c r="W17" s="391"/>
    </row>
    <row r="18" ht="15.75" customHeight="1">
      <c r="A18" s="343">
        <v>15.0</v>
      </c>
      <c r="B18" s="358"/>
      <c r="C18" s="304"/>
      <c r="D18" s="304"/>
      <c r="E18" s="304"/>
      <c r="F18" s="358"/>
      <c r="G18" s="394"/>
      <c r="H18" s="394"/>
      <c r="I18" s="304"/>
      <c r="J18" s="304"/>
      <c r="K18" s="344">
        <v>46023.0</v>
      </c>
      <c r="L18" s="344">
        <v>46387.0</v>
      </c>
      <c r="M18" s="326">
        <f t="shared" si="1"/>
        <v>52</v>
      </c>
      <c r="N18" s="382"/>
      <c r="O18" s="304"/>
      <c r="P18" s="304"/>
      <c r="Q18" s="304"/>
      <c r="R18" s="304"/>
      <c r="S18" s="391"/>
      <c r="T18" s="391"/>
      <c r="U18" s="391"/>
      <c r="V18" s="391"/>
      <c r="W18" s="391"/>
    </row>
    <row r="19" ht="15.75" customHeight="1">
      <c r="A19" s="343">
        <v>16.0</v>
      </c>
      <c r="B19" s="358"/>
      <c r="C19" s="304"/>
      <c r="D19" s="304"/>
      <c r="E19" s="304"/>
      <c r="F19" s="358"/>
      <c r="G19" s="394"/>
      <c r="H19" s="394"/>
      <c r="I19" s="304"/>
      <c r="J19" s="304"/>
      <c r="K19" s="344">
        <v>46023.0</v>
      </c>
      <c r="L19" s="344">
        <v>46387.0</v>
      </c>
      <c r="M19" s="326">
        <f t="shared" si="1"/>
        <v>52</v>
      </c>
      <c r="N19" s="382"/>
      <c r="O19" s="304"/>
      <c r="P19" s="304"/>
      <c r="Q19" s="304"/>
      <c r="R19" s="304"/>
      <c r="S19" s="391"/>
      <c r="T19" s="391"/>
      <c r="U19" s="391"/>
      <c r="V19" s="391"/>
      <c r="W19" s="391"/>
    </row>
    <row r="20" ht="15.75" customHeight="1">
      <c r="A20" s="343">
        <v>17.0</v>
      </c>
      <c r="B20" s="358"/>
      <c r="C20" s="304"/>
      <c r="D20" s="304"/>
      <c r="E20" s="304"/>
      <c r="F20" s="358"/>
      <c r="G20" s="394"/>
      <c r="H20" s="394"/>
      <c r="I20" s="304"/>
      <c r="J20" s="304"/>
      <c r="K20" s="344">
        <v>46023.0</v>
      </c>
      <c r="L20" s="344">
        <v>46387.0</v>
      </c>
      <c r="M20" s="326">
        <f t="shared" si="1"/>
        <v>52</v>
      </c>
      <c r="N20" s="382"/>
      <c r="O20" s="304"/>
      <c r="P20" s="304"/>
      <c r="Q20" s="304"/>
      <c r="R20" s="304"/>
      <c r="S20" s="391"/>
      <c r="T20" s="391"/>
      <c r="U20" s="391"/>
      <c r="V20" s="391"/>
      <c r="W20" s="391"/>
    </row>
    <row r="21" ht="15.75" customHeight="1">
      <c r="A21" s="343">
        <v>18.0</v>
      </c>
      <c r="B21" s="358"/>
      <c r="C21" s="304"/>
      <c r="D21" s="304"/>
      <c r="E21" s="304"/>
      <c r="F21" s="358"/>
      <c r="G21" s="394"/>
      <c r="H21" s="394"/>
      <c r="I21" s="304"/>
      <c r="J21" s="304"/>
      <c r="K21" s="344">
        <v>46023.0</v>
      </c>
      <c r="L21" s="344">
        <v>46387.0</v>
      </c>
      <c r="M21" s="326">
        <f t="shared" si="1"/>
        <v>52</v>
      </c>
      <c r="N21" s="382"/>
      <c r="O21" s="304"/>
      <c r="P21" s="304"/>
      <c r="Q21" s="304"/>
      <c r="R21" s="304"/>
      <c r="S21" s="391"/>
      <c r="T21" s="391"/>
      <c r="U21" s="391"/>
      <c r="V21" s="391"/>
      <c r="W21" s="391"/>
    </row>
    <row r="22" ht="15.75" customHeight="1">
      <c r="A22" s="343">
        <v>19.0</v>
      </c>
      <c r="B22" s="358"/>
      <c r="C22" s="304"/>
      <c r="D22" s="304"/>
      <c r="E22" s="304"/>
      <c r="F22" s="358"/>
      <c r="G22" s="394"/>
      <c r="H22" s="394"/>
      <c r="I22" s="304"/>
      <c r="J22" s="304"/>
      <c r="K22" s="344">
        <v>46023.0</v>
      </c>
      <c r="L22" s="344">
        <v>46387.0</v>
      </c>
      <c r="M22" s="326">
        <f t="shared" si="1"/>
        <v>52</v>
      </c>
      <c r="N22" s="382"/>
      <c r="O22" s="304"/>
      <c r="P22" s="304"/>
      <c r="Q22" s="304"/>
      <c r="R22" s="304"/>
      <c r="S22" s="391"/>
      <c r="T22" s="391"/>
      <c r="U22" s="391"/>
      <c r="V22" s="391"/>
      <c r="W22" s="391"/>
    </row>
    <row r="23" ht="15.75" customHeight="1">
      <c r="A23" s="343">
        <v>20.0</v>
      </c>
      <c r="B23" s="358"/>
      <c r="C23" s="304"/>
      <c r="D23" s="304"/>
      <c r="E23" s="304"/>
      <c r="F23" s="358"/>
      <c r="G23" s="394"/>
      <c r="H23" s="394"/>
      <c r="I23" s="304"/>
      <c r="J23" s="304"/>
      <c r="K23" s="344">
        <v>46023.0</v>
      </c>
      <c r="L23" s="344">
        <v>46387.0</v>
      </c>
      <c r="M23" s="326">
        <f t="shared" si="1"/>
        <v>52</v>
      </c>
      <c r="N23" s="382"/>
      <c r="O23" s="304"/>
      <c r="P23" s="304"/>
      <c r="Q23" s="304"/>
      <c r="R23" s="304"/>
      <c r="S23" s="391"/>
      <c r="T23" s="391"/>
      <c r="U23" s="391"/>
      <c r="V23" s="391"/>
      <c r="W23" s="391"/>
    </row>
    <row r="24" ht="15.75" customHeight="1">
      <c r="A24" s="343">
        <v>19.0</v>
      </c>
      <c r="B24" s="358"/>
      <c r="C24" s="304"/>
      <c r="D24" s="304"/>
      <c r="E24" s="304"/>
      <c r="F24" s="358"/>
      <c r="G24" s="394"/>
      <c r="H24" s="394"/>
      <c r="I24" s="304"/>
      <c r="J24" s="304"/>
      <c r="K24" s="344">
        <v>46023.0</v>
      </c>
      <c r="L24" s="344">
        <v>46387.0</v>
      </c>
      <c r="M24" s="326">
        <f t="shared" si="1"/>
        <v>52</v>
      </c>
      <c r="N24" s="382"/>
      <c r="O24" s="304"/>
      <c r="P24" s="304"/>
      <c r="Q24" s="304"/>
      <c r="R24" s="304"/>
      <c r="S24" s="391"/>
      <c r="T24" s="391"/>
      <c r="U24" s="391"/>
      <c r="V24" s="391"/>
      <c r="W24" s="391"/>
    </row>
    <row r="25" ht="15.75" customHeight="1">
      <c r="A25" s="343">
        <v>20.0</v>
      </c>
      <c r="B25" s="358"/>
      <c r="C25" s="304"/>
      <c r="D25" s="304"/>
      <c r="E25" s="304"/>
      <c r="F25" s="358"/>
      <c r="G25" s="394"/>
      <c r="H25" s="394"/>
      <c r="I25" s="304"/>
      <c r="J25" s="304"/>
      <c r="K25" s="344">
        <v>46023.0</v>
      </c>
      <c r="L25" s="344">
        <v>46387.0</v>
      </c>
      <c r="M25" s="326">
        <f t="shared" si="1"/>
        <v>52</v>
      </c>
      <c r="N25" s="382"/>
      <c r="O25" s="304"/>
      <c r="P25" s="304"/>
      <c r="Q25" s="304"/>
      <c r="R25" s="304"/>
      <c r="S25" s="391"/>
      <c r="T25" s="391"/>
      <c r="U25" s="391"/>
      <c r="V25" s="391"/>
      <c r="W25" s="391"/>
    </row>
    <row r="26" ht="15.75" customHeight="1">
      <c r="A26" s="391"/>
      <c r="B26" s="395" t="s">
        <v>106</v>
      </c>
      <c r="C26" s="395"/>
      <c r="D26" s="395" t="s">
        <v>107</v>
      </c>
      <c r="E26" s="391"/>
      <c r="F26" s="396"/>
      <c r="G26" s="397"/>
      <c r="H26" s="397"/>
      <c r="I26" s="391"/>
      <c r="J26" s="391"/>
      <c r="K26" s="391"/>
      <c r="L26" s="391"/>
      <c r="M26" s="391"/>
      <c r="N26" s="391"/>
      <c r="O26" s="391"/>
      <c r="P26" s="391"/>
      <c r="Q26" s="391"/>
      <c r="R26" s="391"/>
      <c r="S26" s="391"/>
      <c r="T26" s="391"/>
      <c r="U26" s="391"/>
      <c r="V26" s="391"/>
      <c r="W26" s="391"/>
    </row>
    <row r="27" ht="15.75" customHeight="1">
      <c r="A27" s="391"/>
      <c r="B27" s="398"/>
      <c r="C27" s="391"/>
      <c r="D27" s="391"/>
      <c r="E27" s="391"/>
      <c r="F27" s="396"/>
      <c r="G27" s="397"/>
      <c r="H27" s="397"/>
      <c r="I27" s="391"/>
      <c r="J27" s="391"/>
      <c r="K27" s="391"/>
      <c r="L27" s="391"/>
      <c r="M27" s="391"/>
      <c r="N27" s="391"/>
      <c r="O27" s="391"/>
      <c r="P27" s="391"/>
      <c r="Q27" s="391"/>
      <c r="R27" s="391"/>
      <c r="S27" s="391"/>
      <c r="T27" s="391"/>
      <c r="U27" s="391"/>
      <c r="V27" s="391"/>
      <c r="W27" s="391"/>
    </row>
    <row r="28" ht="15.75" customHeight="1">
      <c r="A28" s="391"/>
      <c r="B28" s="396"/>
      <c r="C28" s="391"/>
      <c r="D28" s="391"/>
      <c r="E28" s="391"/>
      <c r="F28" s="396"/>
      <c r="G28" s="397"/>
      <c r="H28" s="397"/>
      <c r="I28" s="391"/>
      <c r="J28" s="391"/>
      <c r="K28" s="391"/>
      <c r="L28" s="391"/>
      <c r="M28" s="391"/>
      <c r="N28" s="391"/>
      <c r="O28" s="391"/>
      <c r="P28" s="391"/>
      <c r="Q28" s="391"/>
      <c r="R28" s="391"/>
      <c r="S28" s="391"/>
      <c r="T28" s="391"/>
      <c r="U28" s="391"/>
      <c r="V28" s="391"/>
      <c r="W28" s="391"/>
    </row>
    <row r="29" ht="15.75" customHeight="1">
      <c r="A29" s="391"/>
      <c r="B29" s="396"/>
      <c r="C29" s="391"/>
      <c r="D29" s="391"/>
      <c r="E29" s="391"/>
      <c r="F29" s="396"/>
      <c r="G29" s="397"/>
      <c r="H29" s="397"/>
      <c r="I29" s="391"/>
      <c r="J29" s="391"/>
      <c r="K29" s="391"/>
      <c r="L29" s="391"/>
      <c r="M29" s="391"/>
      <c r="N29" s="391"/>
      <c r="O29" s="391"/>
      <c r="P29" s="391"/>
      <c r="Q29" s="391"/>
      <c r="R29" s="391"/>
      <c r="S29" s="391"/>
      <c r="T29" s="391"/>
      <c r="U29" s="391"/>
      <c r="V29" s="391"/>
      <c r="W29" s="391"/>
    </row>
    <row r="30" ht="15.75" customHeight="1">
      <c r="A30" s="391"/>
      <c r="B30" s="396"/>
      <c r="C30" s="391"/>
      <c r="D30" s="391"/>
      <c r="E30" s="391"/>
      <c r="F30" s="396"/>
      <c r="G30" s="397"/>
      <c r="H30" s="397"/>
      <c r="I30" s="391"/>
      <c r="J30" s="391"/>
      <c r="K30" s="391"/>
      <c r="L30" s="391"/>
      <c r="M30" s="391"/>
      <c r="N30" s="391"/>
      <c r="O30" s="391"/>
      <c r="P30" s="391"/>
      <c r="Q30" s="391"/>
      <c r="R30" s="391"/>
      <c r="S30" s="391"/>
      <c r="T30" s="391"/>
      <c r="U30" s="391"/>
      <c r="V30" s="391"/>
      <c r="W30" s="391"/>
    </row>
    <row r="31" ht="15.75" customHeight="1">
      <c r="A31" s="391"/>
      <c r="B31" s="396"/>
      <c r="C31" s="391"/>
      <c r="D31" s="391"/>
      <c r="E31" s="391"/>
      <c r="F31" s="396"/>
      <c r="G31" s="397"/>
      <c r="H31" s="397"/>
      <c r="I31" s="391"/>
      <c r="J31" s="391"/>
      <c r="K31" s="391"/>
      <c r="L31" s="391"/>
      <c r="M31" s="391"/>
      <c r="N31" s="391"/>
      <c r="O31" s="391"/>
      <c r="P31" s="391"/>
      <c r="Q31" s="391"/>
      <c r="R31" s="391"/>
      <c r="S31" s="391"/>
      <c r="T31" s="391"/>
      <c r="U31" s="391"/>
      <c r="V31" s="391"/>
      <c r="W31" s="391"/>
    </row>
    <row r="32" ht="15.75" customHeight="1">
      <c r="A32" s="391"/>
      <c r="B32" s="396"/>
      <c r="C32" s="391"/>
      <c r="D32" s="391"/>
      <c r="E32" s="391"/>
      <c r="F32" s="396"/>
      <c r="G32" s="397"/>
      <c r="H32" s="397"/>
      <c r="I32" s="391"/>
      <c r="J32" s="391"/>
      <c r="K32" s="391"/>
      <c r="L32" s="391"/>
      <c r="M32" s="391"/>
      <c r="N32" s="391"/>
      <c r="O32" s="391"/>
      <c r="P32" s="391"/>
      <c r="Q32" s="391"/>
      <c r="R32" s="391"/>
      <c r="S32" s="391"/>
      <c r="T32" s="391"/>
      <c r="U32" s="391"/>
      <c r="V32" s="391"/>
      <c r="W32" s="391"/>
    </row>
    <row r="33" ht="15.75" customHeight="1">
      <c r="A33" s="391"/>
      <c r="B33" s="396"/>
      <c r="C33" s="391"/>
      <c r="D33" s="391"/>
      <c r="E33" s="391"/>
      <c r="F33" s="396"/>
      <c r="G33" s="397"/>
      <c r="H33" s="397"/>
      <c r="I33" s="391"/>
      <c r="J33" s="391"/>
      <c r="K33" s="391"/>
      <c r="L33" s="391"/>
      <c r="M33" s="391"/>
      <c r="N33" s="391"/>
      <c r="O33" s="391"/>
      <c r="P33" s="391"/>
      <c r="Q33" s="391"/>
      <c r="R33" s="391"/>
      <c r="S33" s="391"/>
      <c r="T33" s="391"/>
      <c r="U33" s="391"/>
      <c r="V33" s="391"/>
      <c r="W33" s="391"/>
    </row>
    <row r="34" ht="15.75" customHeight="1">
      <c r="A34" s="391"/>
      <c r="B34" s="396"/>
      <c r="C34" s="391"/>
      <c r="D34" s="391"/>
      <c r="E34" s="391"/>
      <c r="F34" s="396"/>
      <c r="G34" s="397"/>
      <c r="H34" s="397"/>
      <c r="I34" s="391"/>
      <c r="J34" s="391"/>
      <c r="K34" s="391"/>
      <c r="L34" s="391"/>
      <c r="M34" s="391"/>
      <c r="N34" s="391"/>
      <c r="O34" s="391"/>
      <c r="P34" s="391"/>
      <c r="Q34" s="391"/>
      <c r="R34" s="391"/>
      <c r="S34" s="391"/>
      <c r="T34" s="391"/>
      <c r="U34" s="391"/>
      <c r="V34" s="391"/>
      <c r="W34" s="391"/>
    </row>
    <row r="35" ht="15.75" customHeight="1">
      <c r="A35" s="391"/>
      <c r="B35" s="396"/>
      <c r="C35" s="391"/>
      <c r="D35" s="391"/>
      <c r="E35" s="391"/>
      <c r="F35" s="396"/>
      <c r="G35" s="397"/>
      <c r="H35" s="397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</row>
    <row r="36" ht="15.75" customHeight="1">
      <c r="A36" s="391"/>
      <c r="B36" s="396"/>
      <c r="C36" s="391"/>
      <c r="D36" s="391"/>
      <c r="E36" s="391"/>
      <c r="F36" s="396"/>
      <c r="G36" s="397"/>
      <c r="H36" s="397"/>
      <c r="I36" s="391"/>
      <c r="J36" s="391"/>
      <c r="K36" s="391"/>
      <c r="L36" s="391"/>
      <c r="M36" s="391"/>
      <c r="N36" s="391"/>
      <c r="O36" s="391"/>
      <c r="P36" s="391"/>
      <c r="Q36" s="391"/>
      <c r="R36" s="391"/>
      <c r="S36" s="391"/>
      <c r="T36" s="391"/>
      <c r="U36" s="391"/>
      <c r="V36" s="391"/>
      <c r="W36" s="391"/>
    </row>
    <row r="37" ht="15.75" customHeight="1">
      <c r="A37" s="391"/>
      <c r="B37" s="396"/>
      <c r="C37" s="391"/>
      <c r="D37" s="391"/>
      <c r="E37" s="391"/>
      <c r="F37" s="396"/>
      <c r="G37" s="397"/>
      <c r="H37" s="397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</row>
    <row r="38" ht="15.75" customHeight="1">
      <c r="A38" s="391"/>
      <c r="B38" s="396"/>
      <c r="C38" s="391"/>
      <c r="D38" s="391"/>
      <c r="E38" s="391"/>
      <c r="F38" s="396"/>
      <c r="G38" s="397"/>
      <c r="H38" s="397"/>
      <c r="I38" s="391"/>
      <c r="J38" s="391"/>
      <c r="K38" s="391"/>
      <c r="L38" s="391"/>
      <c r="M38" s="391"/>
      <c r="N38" s="391"/>
      <c r="O38" s="391"/>
      <c r="P38" s="391"/>
      <c r="Q38" s="391"/>
      <c r="R38" s="391"/>
      <c r="S38" s="391"/>
      <c r="T38" s="391"/>
      <c r="U38" s="391"/>
      <c r="V38" s="391"/>
      <c r="W38" s="391"/>
    </row>
    <row r="39" ht="15.75" customHeight="1">
      <c r="A39" s="391"/>
      <c r="B39" s="396"/>
      <c r="C39" s="391"/>
      <c r="D39" s="391"/>
      <c r="E39" s="391"/>
      <c r="F39" s="396"/>
      <c r="G39" s="397"/>
      <c r="H39" s="397"/>
      <c r="I39" s="391"/>
      <c r="J39" s="391"/>
      <c r="K39" s="391"/>
      <c r="L39" s="391"/>
      <c r="M39" s="391"/>
      <c r="N39" s="391"/>
      <c r="O39" s="391"/>
      <c r="P39" s="391"/>
      <c r="Q39" s="391"/>
      <c r="R39" s="391"/>
      <c r="S39" s="391"/>
      <c r="T39" s="391"/>
      <c r="U39" s="391"/>
      <c r="V39" s="391"/>
      <c r="W39" s="391"/>
    </row>
    <row r="40" ht="15.75" customHeight="1">
      <c r="A40" s="391"/>
      <c r="B40" s="396"/>
      <c r="C40" s="391"/>
      <c r="D40" s="391"/>
      <c r="E40" s="391"/>
      <c r="F40" s="396"/>
      <c r="G40" s="397"/>
      <c r="H40" s="397"/>
      <c r="I40" s="391"/>
      <c r="J40" s="391"/>
      <c r="K40" s="391"/>
      <c r="L40" s="391"/>
      <c r="M40" s="391"/>
      <c r="N40" s="391"/>
      <c r="O40" s="391"/>
      <c r="P40" s="391"/>
      <c r="Q40" s="391"/>
      <c r="R40" s="391"/>
      <c r="S40" s="391"/>
      <c r="T40" s="391"/>
      <c r="U40" s="391"/>
      <c r="V40" s="391"/>
      <c r="W40" s="391"/>
    </row>
    <row r="41" ht="15.75" customHeight="1">
      <c r="A41" s="391"/>
      <c r="B41" s="396"/>
      <c r="C41" s="391"/>
      <c r="D41" s="391"/>
      <c r="E41" s="391"/>
      <c r="F41" s="396"/>
      <c r="G41" s="397"/>
      <c r="H41" s="397"/>
      <c r="I41" s="391"/>
      <c r="J41" s="391"/>
      <c r="K41" s="391"/>
      <c r="L41" s="391"/>
      <c r="M41" s="391"/>
      <c r="N41" s="391"/>
      <c r="O41" s="391"/>
      <c r="P41" s="391"/>
      <c r="Q41" s="391"/>
      <c r="R41" s="391"/>
      <c r="S41" s="391"/>
      <c r="T41" s="391"/>
      <c r="U41" s="391"/>
      <c r="V41" s="391"/>
      <c r="W41" s="391"/>
    </row>
    <row r="42" ht="15.75" customHeight="1">
      <c r="A42" s="391"/>
      <c r="B42" s="396"/>
      <c r="C42" s="391"/>
      <c r="D42" s="391"/>
      <c r="E42" s="391"/>
      <c r="F42" s="396"/>
      <c r="G42" s="397"/>
      <c r="H42" s="397"/>
      <c r="I42" s="391"/>
      <c r="J42" s="391"/>
      <c r="K42" s="391"/>
      <c r="L42" s="391"/>
      <c r="M42" s="391"/>
      <c r="N42" s="391"/>
      <c r="O42" s="391"/>
      <c r="P42" s="391"/>
      <c r="Q42" s="391"/>
      <c r="R42" s="391"/>
      <c r="S42" s="391"/>
      <c r="T42" s="391"/>
      <c r="U42" s="391"/>
      <c r="V42" s="391"/>
      <c r="W42" s="391"/>
    </row>
    <row r="43" ht="15.75" customHeight="1">
      <c r="A43" s="391"/>
      <c r="B43" s="396"/>
      <c r="C43" s="391"/>
      <c r="D43" s="391"/>
      <c r="E43" s="391"/>
      <c r="F43" s="396"/>
      <c r="G43" s="397"/>
      <c r="H43" s="397"/>
      <c r="I43" s="391"/>
      <c r="J43" s="391"/>
      <c r="K43" s="391"/>
      <c r="L43" s="391"/>
      <c r="M43" s="391"/>
      <c r="N43" s="391"/>
      <c r="O43" s="391"/>
      <c r="P43" s="391"/>
      <c r="Q43" s="391"/>
      <c r="R43" s="391"/>
      <c r="S43" s="391"/>
      <c r="T43" s="391"/>
      <c r="U43" s="391"/>
      <c r="V43" s="391"/>
      <c r="W43" s="391"/>
    </row>
    <row r="44" ht="15.75" customHeight="1">
      <c r="A44" s="391"/>
      <c r="B44" s="396"/>
      <c r="C44" s="391"/>
      <c r="D44" s="391"/>
      <c r="E44" s="391"/>
      <c r="F44" s="396"/>
      <c r="G44" s="397"/>
      <c r="H44" s="397"/>
      <c r="I44" s="391"/>
      <c r="J44" s="391"/>
      <c r="K44" s="391"/>
      <c r="L44" s="391"/>
      <c r="M44" s="391"/>
      <c r="N44" s="391"/>
      <c r="O44" s="391"/>
      <c r="P44" s="391"/>
      <c r="Q44" s="391"/>
      <c r="R44" s="391"/>
      <c r="S44" s="391"/>
      <c r="T44" s="391"/>
      <c r="U44" s="391"/>
      <c r="V44" s="391"/>
      <c r="W44" s="391"/>
    </row>
    <row r="45" ht="15.75" customHeight="1">
      <c r="A45" s="391"/>
      <c r="B45" s="396"/>
      <c r="C45" s="391"/>
      <c r="D45" s="391"/>
      <c r="E45" s="391"/>
      <c r="F45" s="396"/>
      <c r="G45" s="397"/>
      <c r="H45" s="397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</row>
    <row r="46" ht="15.75" customHeight="1">
      <c r="A46" s="391"/>
      <c r="B46" s="396"/>
      <c r="C46" s="391"/>
      <c r="D46" s="391"/>
      <c r="E46" s="391"/>
      <c r="F46" s="396"/>
      <c r="G46" s="397"/>
      <c r="H46" s="397"/>
      <c r="I46" s="391"/>
      <c r="J46" s="391"/>
      <c r="K46" s="391"/>
      <c r="L46" s="391"/>
      <c r="M46" s="391"/>
      <c r="N46" s="391"/>
      <c r="O46" s="391"/>
      <c r="P46" s="391"/>
      <c r="Q46" s="391"/>
      <c r="R46" s="391"/>
      <c r="S46" s="391"/>
      <c r="T46" s="391"/>
      <c r="U46" s="391"/>
      <c r="V46" s="391"/>
      <c r="W46" s="391"/>
    </row>
    <row r="47" ht="15.75" customHeight="1">
      <c r="A47" s="391"/>
      <c r="B47" s="396"/>
      <c r="C47" s="391"/>
      <c r="D47" s="391"/>
      <c r="E47" s="391"/>
      <c r="F47" s="396"/>
      <c r="G47" s="397"/>
      <c r="H47" s="397"/>
      <c r="I47" s="391"/>
      <c r="J47" s="391"/>
      <c r="K47" s="391"/>
      <c r="L47" s="391"/>
      <c r="M47" s="391"/>
      <c r="N47" s="391"/>
      <c r="O47" s="391"/>
      <c r="P47" s="391"/>
      <c r="Q47" s="391"/>
      <c r="R47" s="391"/>
      <c r="S47" s="391"/>
      <c r="T47" s="391"/>
      <c r="U47" s="391"/>
      <c r="V47" s="391"/>
      <c r="W47" s="391"/>
    </row>
    <row r="48" ht="15.75" customHeight="1">
      <c r="A48" s="391"/>
      <c r="B48" s="396"/>
      <c r="C48" s="391"/>
      <c r="D48" s="391"/>
      <c r="E48" s="391"/>
      <c r="F48" s="396"/>
      <c r="G48" s="397"/>
      <c r="H48" s="397"/>
      <c r="I48" s="391"/>
      <c r="J48" s="391"/>
      <c r="K48" s="391"/>
      <c r="L48" s="391"/>
      <c r="M48" s="391"/>
      <c r="N48" s="391"/>
      <c r="O48" s="391"/>
      <c r="P48" s="391"/>
      <c r="Q48" s="391"/>
      <c r="R48" s="391"/>
      <c r="S48" s="391"/>
      <c r="T48" s="391"/>
      <c r="U48" s="391"/>
      <c r="V48" s="391"/>
      <c r="W48" s="391"/>
    </row>
    <row r="49" ht="15.75" customHeight="1">
      <c r="A49" s="391"/>
      <c r="B49" s="396"/>
      <c r="C49" s="391"/>
      <c r="D49" s="391"/>
      <c r="E49" s="391"/>
      <c r="F49" s="396"/>
      <c r="G49" s="397"/>
      <c r="H49" s="397"/>
      <c r="I49" s="391"/>
      <c r="J49" s="391"/>
      <c r="K49" s="391"/>
      <c r="L49" s="391"/>
      <c r="M49" s="391"/>
      <c r="N49" s="391"/>
      <c r="O49" s="391"/>
      <c r="P49" s="391"/>
      <c r="Q49" s="391"/>
      <c r="R49" s="391"/>
      <c r="S49" s="391"/>
      <c r="T49" s="391"/>
      <c r="U49" s="391"/>
      <c r="V49" s="391"/>
      <c r="W49" s="391"/>
    </row>
    <row r="50" ht="15.75" customHeight="1">
      <c r="A50" s="391"/>
      <c r="B50" s="396"/>
      <c r="C50" s="391"/>
      <c r="D50" s="391"/>
      <c r="E50" s="391"/>
      <c r="F50" s="396"/>
      <c r="G50" s="397"/>
      <c r="H50" s="397"/>
      <c r="I50" s="391"/>
      <c r="J50" s="391"/>
      <c r="K50" s="391"/>
      <c r="L50" s="391"/>
      <c r="M50" s="391"/>
      <c r="N50" s="391"/>
      <c r="O50" s="391"/>
      <c r="P50" s="391"/>
      <c r="Q50" s="391"/>
      <c r="R50" s="391"/>
      <c r="S50" s="391"/>
      <c r="T50" s="391"/>
      <c r="U50" s="391"/>
      <c r="V50" s="391"/>
      <c r="W50" s="391"/>
    </row>
    <row r="51" ht="15.75" customHeight="1">
      <c r="A51" s="391"/>
      <c r="B51" s="396"/>
      <c r="C51" s="391"/>
      <c r="D51" s="391"/>
      <c r="E51" s="391"/>
      <c r="F51" s="396"/>
      <c r="G51" s="397"/>
      <c r="H51" s="397"/>
      <c r="I51" s="391"/>
      <c r="J51" s="391"/>
      <c r="K51" s="391"/>
      <c r="L51" s="391"/>
      <c r="M51" s="391"/>
      <c r="N51" s="391"/>
      <c r="O51" s="391"/>
      <c r="P51" s="391"/>
      <c r="Q51" s="391"/>
      <c r="R51" s="391"/>
      <c r="S51" s="391"/>
      <c r="T51" s="391"/>
      <c r="U51" s="391"/>
      <c r="V51" s="391"/>
      <c r="W51" s="391"/>
    </row>
    <row r="52" ht="15.75" customHeight="1">
      <c r="A52" s="391"/>
      <c r="B52" s="396"/>
      <c r="C52" s="391"/>
      <c r="D52" s="391"/>
      <c r="E52" s="391"/>
      <c r="F52" s="396"/>
      <c r="G52" s="397"/>
      <c r="H52" s="397"/>
      <c r="I52" s="391"/>
      <c r="J52" s="391"/>
      <c r="K52" s="391"/>
      <c r="L52" s="391"/>
      <c r="M52" s="391"/>
      <c r="N52" s="391"/>
      <c r="O52" s="391"/>
      <c r="P52" s="391"/>
      <c r="Q52" s="391"/>
      <c r="R52" s="391"/>
      <c r="S52" s="391"/>
      <c r="T52" s="391"/>
      <c r="U52" s="391"/>
      <c r="V52" s="391"/>
      <c r="W52" s="391"/>
    </row>
    <row r="53" ht="15.75" customHeight="1">
      <c r="A53" s="391"/>
      <c r="B53" s="396"/>
      <c r="C53" s="391"/>
      <c r="D53" s="391"/>
      <c r="E53" s="391"/>
      <c r="F53" s="396"/>
      <c r="G53" s="397"/>
      <c r="H53" s="397"/>
      <c r="I53" s="391"/>
      <c r="J53" s="391"/>
      <c r="K53" s="391"/>
      <c r="L53" s="391"/>
      <c r="M53" s="391"/>
      <c r="N53" s="391"/>
      <c r="O53" s="391"/>
      <c r="P53" s="391"/>
      <c r="Q53" s="391"/>
      <c r="R53" s="391"/>
      <c r="S53" s="391"/>
      <c r="T53" s="391"/>
      <c r="U53" s="391"/>
      <c r="V53" s="391"/>
      <c r="W53" s="391"/>
    </row>
    <row r="54" ht="15.75" customHeight="1">
      <c r="A54" s="391"/>
      <c r="B54" s="396"/>
      <c r="C54" s="391"/>
      <c r="D54" s="391"/>
      <c r="E54" s="391"/>
      <c r="F54" s="396"/>
      <c r="G54" s="397"/>
      <c r="H54" s="397"/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  <c r="T54" s="391"/>
      <c r="U54" s="391"/>
      <c r="V54" s="391"/>
      <c r="W54" s="391"/>
    </row>
    <row r="55" ht="15.75" customHeight="1">
      <c r="A55" s="391"/>
      <c r="B55" s="396"/>
      <c r="C55" s="391"/>
      <c r="D55" s="391"/>
      <c r="E55" s="391"/>
      <c r="F55" s="396"/>
      <c r="G55" s="397"/>
      <c r="H55" s="397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/>
      <c r="W55" s="391"/>
    </row>
    <row r="56" ht="15.75" customHeight="1">
      <c r="A56" s="391"/>
      <c r="B56" s="396"/>
      <c r="C56" s="391"/>
      <c r="D56" s="391"/>
      <c r="E56" s="391"/>
      <c r="F56" s="396"/>
      <c r="G56" s="397"/>
      <c r="H56" s="397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  <c r="W56" s="391"/>
    </row>
    <row r="57" ht="15.75" customHeight="1">
      <c r="A57" s="391"/>
      <c r="B57" s="396"/>
      <c r="C57" s="391"/>
      <c r="D57" s="391"/>
      <c r="E57" s="391"/>
      <c r="F57" s="396"/>
      <c r="G57" s="397"/>
      <c r="H57" s="397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  <c r="T57" s="391"/>
      <c r="U57" s="391"/>
      <c r="V57" s="391"/>
      <c r="W57" s="391"/>
    </row>
    <row r="58" ht="15.75" customHeight="1">
      <c r="A58" s="391"/>
      <c r="B58" s="396"/>
      <c r="C58" s="391"/>
      <c r="D58" s="391"/>
      <c r="E58" s="391"/>
      <c r="F58" s="396"/>
      <c r="G58" s="397"/>
      <c r="H58" s="397"/>
      <c r="I58" s="391"/>
      <c r="J58" s="391"/>
      <c r="K58" s="391"/>
      <c r="L58" s="391"/>
      <c r="M58" s="391"/>
      <c r="N58" s="391"/>
      <c r="O58" s="391"/>
      <c r="P58" s="391"/>
      <c r="Q58" s="391"/>
      <c r="R58" s="391"/>
      <c r="S58" s="391"/>
      <c r="T58" s="391"/>
      <c r="U58" s="391"/>
      <c r="V58" s="391"/>
      <c r="W58" s="391"/>
    </row>
    <row r="59" ht="15.75" customHeight="1">
      <c r="A59" s="391"/>
      <c r="B59" s="396"/>
      <c r="C59" s="391"/>
      <c r="D59" s="391"/>
      <c r="E59" s="391"/>
      <c r="F59" s="396"/>
      <c r="G59" s="397"/>
      <c r="H59" s="397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391"/>
      <c r="T59" s="391"/>
      <c r="U59" s="391"/>
      <c r="V59" s="391"/>
      <c r="W59" s="391"/>
    </row>
    <row r="60" ht="15.75" customHeight="1">
      <c r="A60" s="391"/>
      <c r="B60" s="396"/>
      <c r="C60" s="391"/>
      <c r="D60" s="391"/>
      <c r="E60" s="391"/>
      <c r="F60" s="396"/>
      <c r="G60" s="397"/>
      <c r="H60" s="397"/>
      <c r="I60" s="391"/>
      <c r="J60" s="391"/>
      <c r="K60" s="391"/>
      <c r="L60" s="391"/>
      <c r="M60" s="391"/>
      <c r="N60" s="391"/>
      <c r="O60" s="391"/>
      <c r="P60" s="391"/>
      <c r="Q60" s="391"/>
      <c r="R60" s="391"/>
      <c r="S60" s="391"/>
      <c r="T60" s="391"/>
      <c r="U60" s="391"/>
      <c r="V60" s="391"/>
      <c r="W60" s="391"/>
    </row>
    <row r="61" ht="15.75" customHeight="1">
      <c r="A61" s="391"/>
      <c r="B61" s="396"/>
      <c r="C61" s="391"/>
      <c r="D61" s="391"/>
      <c r="E61" s="391"/>
      <c r="F61" s="396"/>
      <c r="G61" s="397"/>
      <c r="H61" s="397"/>
      <c r="I61" s="391"/>
      <c r="J61" s="391"/>
      <c r="K61" s="391"/>
      <c r="L61" s="391"/>
      <c r="M61" s="391"/>
      <c r="N61" s="391"/>
      <c r="O61" s="391"/>
      <c r="P61" s="391"/>
      <c r="Q61" s="391"/>
      <c r="R61" s="391"/>
      <c r="S61" s="391"/>
      <c r="T61" s="391"/>
      <c r="U61" s="391"/>
      <c r="V61" s="391"/>
      <c r="W61" s="391"/>
    </row>
    <row r="62" ht="15.75" customHeight="1">
      <c r="A62" s="391"/>
      <c r="B62" s="396"/>
      <c r="C62" s="391"/>
      <c r="D62" s="391"/>
      <c r="E62" s="391"/>
      <c r="F62" s="396"/>
      <c r="G62" s="397"/>
      <c r="H62" s="397"/>
      <c r="I62" s="391"/>
      <c r="J62" s="391"/>
      <c r="K62" s="391"/>
      <c r="L62" s="391"/>
      <c r="M62" s="391"/>
      <c r="N62" s="391"/>
      <c r="O62" s="391"/>
      <c r="P62" s="391"/>
      <c r="Q62" s="391"/>
      <c r="R62" s="391"/>
      <c r="S62" s="391"/>
      <c r="T62" s="391"/>
      <c r="U62" s="391"/>
      <c r="V62" s="391"/>
      <c r="W62" s="391"/>
    </row>
    <row r="63" ht="15.75" customHeight="1">
      <c r="A63" s="391"/>
      <c r="B63" s="396"/>
      <c r="C63" s="391"/>
      <c r="D63" s="391"/>
      <c r="E63" s="391"/>
      <c r="F63" s="396"/>
      <c r="G63" s="397"/>
      <c r="H63" s="397"/>
      <c r="I63" s="391"/>
      <c r="J63" s="391"/>
      <c r="K63" s="391"/>
      <c r="L63" s="391"/>
      <c r="M63" s="391"/>
      <c r="N63" s="391"/>
      <c r="O63" s="391"/>
      <c r="P63" s="391"/>
      <c r="Q63" s="391"/>
      <c r="R63" s="391"/>
      <c r="S63" s="391"/>
      <c r="T63" s="391"/>
      <c r="U63" s="391"/>
      <c r="V63" s="391"/>
      <c r="W63" s="391"/>
    </row>
    <row r="64" ht="15.75" customHeight="1">
      <c r="A64" s="391"/>
      <c r="B64" s="396"/>
      <c r="C64" s="391"/>
      <c r="D64" s="391"/>
      <c r="E64" s="391"/>
      <c r="F64" s="396"/>
      <c r="G64" s="397"/>
      <c r="H64" s="397"/>
      <c r="I64" s="391"/>
      <c r="J64" s="391"/>
      <c r="K64" s="391"/>
      <c r="L64" s="391"/>
      <c r="M64" s="391"/>
      <c r="N64" s="391"/>
      <c r="O64" s="391"/>
      <c r="P64" s="391"/>
      <c r="Q64" s="391"/>
      <c r="R64" s="391"/>
      <c r="S64" s="391"/>
      <c r="T64" s="391"/>
      <c r="U64" s="391"/>
      <c r="V64" s="391"/>
      <c r="W64" s="391"/>
    </row>
    <row r="65" ht="15.75" customHeight="1">
      <c r="A65" s="391"/>
      <c r="B65" s="396"/>
      <c r="C65" s="391"/>
      <c r="D65" s="391"/>
      <c r="E65" s="391"/>
      <c r="F65" s="396"/>
      <c r="G65" s="397"/>
      <c r="H65" s="397"/>
      <c r="I65" s="391"/>
      <c r="J65" s="391"/>
      <c r="K65" s="391"/>
      <c r="L65" s="391"/>
      <c r="M65" s="391"/>
      <c r="N65" s="391"/>
      <c r="O65" s="391"/>
      <c r="P65" s="391"/>
      <c r="Q65" s="391"/>
      <c r="R65" s="391"/>
      <c r="S65" s="391"/>
      <c r="T65" s="391"/>
      <c r="U65" s="391"/>
      <c r="V65" s="391"/>
      <c r="W65" s="391"/>
    </row>
    <row r="66" ht="15.75" customHeight="1">
      <c r="A66" s="391"/>
      <c r="B66" s="396"/>
      <c r="C66" s="391"/>
      <c r="D66" s="391"/>
      <c r="E66" s="391"/>
      <c r="F66" s="396"/>
      <c r="G66" s="397"/>
      <c r="H66" s="397"/>
      <c r="I66" s="391"/>
      <c r="J66" s="391"/>
      <c r="K66" s="391"/>
      <c r="L66" s="391"/>
      <c r="M66" s="391"/>
      <c r="N66" s="391"/>
      <c r="O66" s="391"/>
      <c r="P66" s="391"/>
      <c r="Q66" s="391"/>
      <c r="R66" s="391"/>
      <c r="S66" s="391"/>
      <c r="T66" s="391"/>
      <c r="U66" s="391"/>
      <c r="V66" s="391"/>
      <c r="W66" s="391"/>
    </row>
    <row r="67" ht="15.75" customHeight="1">
      <c r="A67" s="391"/>
      <c r="B67" s="396"/>
      <c r="C67" s="391"/>
      <c r="D67" s="391"/>
      <c r="E67" s="391"/>
      <c r="F67" s="396"/>
      <c r="G67" s="397"/>
      <c r="H67" s="397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  <c r="T67" s="391"/>
      <c r="U67" s="391"/>
      <c r="V67" s="391"/>
      <c r="W67" s="391"/>
    </row>
    <row r="68" ht="15.75" customHeight="1">
      <c r="A68" s="391"/>
      <c r="B68" s="396"/>
      <c r="C68" s="391"/>
      <c r="D68" s="391"/>
      <c r="E68" s="391"/>
      <c r="F68" s="396"/>
      <c r="G68" s="397"/>
      <c r="H68" s="397"/>
      <c r="I68" s="391"/>
      <c r="J68" s="391"/>
      <c r="K68" s="391"/>
      <c r="L68" s="391"/>
      <c r="M68" s="391"/>
      <c r="N68" s="391"/>
      <c r="O68" s="391"/>
      <c r="P68" s="391"/>
      <c r="Q68" s="391"/>
      <c r="R68" s="391"/>
      <c r="S68" s="391"/>
      <c r="T68" s="391"/>
      <c r="U68" s="391"/>
      <c r="V68" s="391"/>
      <c r="W68" s="391"/>
    </row>
    <row r="69" ht="15.75" customHeight="1">
      <c r="A69" s="391"/>
      <c r="B69" s="396"/>
      <c r="C69" s="391"/>
      <c r="D69" s="391"/>
      <c r="E69" s="391"/>
      <c r="F69" s="396"/>
      <c r="G69" s="397"/>
      <c r="H69" s="397"/>
      <c r="I69" s="391"/>
      <c r="J69" s="391"/>
      <c r="K69" s="391"/>
      <c r="L69" s="391"/>
      <c r="M69" s="391"/>
      <c r="N69" s="391"/>
      <c r="O69" s="391"/>
      <c r="P69" s="391"/>
      <c r="Q69" s="391"/>
      <c r="R69" s="391"/>
      <c r="S69" s="391"/>
      <c r="T69" s="391"/>
      <c r="U69" s="391"/>
      <c r="V69" s="391"/>
      <c r="W69" s="391"/>
    </row>
    <row r="70" ht="15.75" customHeight="1">
      <c r="A70" s="391"/>
      <c r="B70" s="396"/>
      <c r="C70" s="391"/>
      <c r="D70" s="391"/>
      <c r="E70" s="391"/>
      <c r="F70" s="396"/>
      <c r="G70" s="397"/>
      <c r="H70" s="397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  <c r="T70" s="391"/>
      <c r="U70" s="391"/>
      <c r="V70" s="391"/>
      <c r="W70" s="391"/>
    </row>
    <row r="71" ht="15.75" customHeight="1">
      <c r="A71" s="391"/>
      <c r="B71" s="396"/>
      <c r="C71" s="391"/>
      <c r="D71" s="391"/>
      <c r="E71" s="391"/>
      <c r="F71" s="396"/>
      <c r="G71" s="397"/>
      <c r="H71" s="397"/>
      <c r="I71" s="391"/>
      <c r="J71" s="391"/>
      <c r="K71" s="391"/>
      <c r="L71" s="391"/>
      <c r="M71" s="391"/>
      <c r="N71" s="391"/>
      <c r="O71" s="391"/>
      <c r="P71" s="391"/>
      <c r="Q71" s="391"/>
      <c r="R71" s="391"/>
      <c r="S71" s="391"/>
      <c r="T71" s="391"/>
      <c r="U71" s="391"/>
      <c r="V71" s="391"/>
      <c r="W71" s="391"/>
    </row>
    <row r="72" ht="15.75" customHeight="1">
      <c r="A72" s="391"/>
      <c r="B72" s="396"/>
      <c r="C72" s="391"/>
      <c r="D72" s="391"/>
      <c r="E72" s="391"/>
      <c r="F72" s="396"/>
      <c r="G72" s="397"/>
      <c r="H72" s="397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1"/>
      <c r="V72" s="391"/>
      <c r="W72" s="391"/>
    </row>
    <row r="73" ht="15.75" customHeight="1">
      <c r="A73" s="391"/>
      <c r="B73" s="396"/>
      <c r="C73" s="391"/>
      <c r="D73" s="391"/>
      <c r="E73" s="391"/>
      <c r="F73" s="396"/>
      <c r="G73" s="397"/>
      <c r="H73" s="397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</row>
    <row r="74" ht="15.75" customHeight="1">
      <c r="A74" s="391"/>
      <c r="B74" s="396"/>
      <c r="C74" s="391"/>
      <c r="D74" s="391"/>
      <c r="E74" s="391"/>
      <c r="F74" s="396"/>
      <c r="G74" s="397"/>
      <c r="H74" s="397"/>
      <c r="I74" s="391"/>
      <c r="J74" s="391"/>
      <c r="K74" s="391"/>
      <c r="L74" s="391"/>
      <c r="M74" s="391"/>
      <c r="N74" s="391"/>
      <c r="O74" s="391"/>
      <c r="P74" s="391"/>
      <c r="Q74" s="391"/>
      <c r="R74" s="391"/>
      <c r="S74" s="391"/>
      <c r="T74" s="391"/>
      <c r="U74" s="391"/>
      <c r="V74" s="391"/>
      <c r="W74" s="391"/>
    </row>
    <row r="75" ht="15.75" customHeight="1">
      <c r="A75" s="391"/>
      <c r="B75" s="396"/>
      <c r="C75" s="391"/>
      <c r="D75" s="391"/>
      <c r="E75" s="391"/>
      <c r="F75" s="396"/>
      <c r="G75" s="397"/>
      <c r="H75" s="397"/>
      <c r="I75" s="391"/>
      <c r="J75" s="391"/>
      <c r="K75" s="391"/>
      <c r="L75" s="391"/>
      <c r="M75" s="391"/>
      <c r="N75" s="391"/>
      <c r="O75" s="391"/>
      <c r="P75" s="391"/>
      <c r="Q75" s="391"/>
      <c r="R75" s="391"/>
      <c r="S75" s="391"/>
      <c r="T75" s="391"/>
      <c r="U75" s="391"/>
      <c r="V75" s="391"/>
      <c r="W75" s="391"/>
    </row>
    <row r="76" ht="15.75" customHeight="1">
      <c r="A76" s="391"/>
      <c r="B76" s="396"/>
      <c r="C76" s="391"/>
      <c r="D76" s="391"/>
      <c r="E76" s="391"/>
      <c r="F76" s="396"/>
      <c r="G76" s="397"/>
      <c r="H76" s="397"/>
      <c r="I76" s="391"/>
      <c r="J76" s="391"/>
      <c r="K76" s="391"/>
      <c r="L76" s="391"/>
      <c r="M76" s="391"/>
      <c r="N76" s="391"/>
      <c r="O76" s="391"/>
      <c r="P76" s="391"/>
      <c r="Q76" s="391"/>
      <c r="R76" s="391"/>
      <c r="S76" s="391"/>
      <c r="T76" s="391"/>
      <c r="U76" s="391"/>
      <c r="V76" s="391"/>
      <c r="W76" s="391"/>
    </row>
    <row r="77" ht="15.75" customHeight="1">
      <c r="A77" s="391"/>
      <c r="B77" s="396"/>
      <c r="C77" s="391"/>
      <c r="D77" s="391"/>
      <c r="E77" s="391"/>
      <c r="F77" s="396"/>
      <c r="G77" s="397"/>
      <c r="H77" s="397"/>
      <c r="I77" s="391"/>
      <c r="J77" s="391"/>
      <c r="K77" s="391"/>
      <c r="L77" s="391"/>
      <c r="M77" s="391"/>
      <c r="N77" s="391"/>
      <c r="O77" s="391"/>
      <c r="P77" s="391"/>
      <c r="Q77" s="391"/>
      <c r="R77" s="391"/>
      <c r="S77" s="391"/>
      <c r="T77" s="391"/>
      <c r="U77" s="391"/>
      <c r="V77" s="391"/>
      <c r="W77" s="391"/>
    </row>
    <row r="78" ht="15.75" customHeight="1">
      <c r="A78" s="391"/>
      <c r="B78" s="396"/>
      <c r="C78" s="391"/>
      <c r="D78" s="391"/>
      <c r="E78" s="391"/>
      <c r="F78" s="396"/>
      <c r="G78" s="397"/>
      <c r="H78" s="397"/>
      <c r="I78" s="391"/>
      <c r="J78" s="391"/>
      <c r="K78" s="391"/>
      <c r="L78" s="391"/>
      <c r="M78" s="391"/>
      <c r="N78" s="391"/>
      <c r="O78" s="391"/>
      <c r="P78" s="391"/>
      <c r="Q78" s="391"/>
      <c r="R78" s="391"/>
      <c r="S78" s="391"/>
      <c r="T78" s="391"/>
      <c r="U78" s="391"/>
      <c r="V78" s="391"/>
      <c r="W78" s="391"/>
    </row>
    <row r="79" ht="15.75" customHeight="1">
      <c r="A79" s="391"/>
      <c r="B79" s="396"/>
      <c r="C79" s="391"/>
      <c r="D79" s="391"/>
      <c r="E79" s="391"/>
      <c r="F79" s="396"/>
      <c r="G79" s="397"/>
      <c r="H79" s="397"/>
      <c r="I79" s="391"/>
      <c r="J79" s="391"/>
      <c r="K79" s="391"/>
      <c r="L79" s="391"/>
      <c r="M79" s="391"/>
      <c r="N79" s="391"/>
      <c r="O79" s="391"/>
      <c r="P79" s="391"/>
      <c r="Q79" s="391"/>
      <c r="R79" s="391"/>
      <c r="S79" s="391"/>
      <c r="T79" s="391"/>
      <c r="U79" s="391"/>
      <c r="V79" s="391"/>
      <c r="W79" s="391"/>
    </row>
    <row r="80" ht="15.75" customHeight="1">
      <c r="A80" s="391"/>
      <c r="B80" s="396"/>
      <c r="C80" s="391"/>
      <c r="D80" s="391"/>
      <c r="E80" s="391"/>
      <c r="F80" s="396"/>
      <c r="G80" s="397"/>
      <c r="H80" s="397"/>
      <c r="I80" s="391"/>
      <c r="J80" s="391"/>
      <c r="K80" s="391"/>
      <c r="L80" s="391"/>
      <c r="M80" s="391"/>
      <c r="N80" s="391"/>
      <c r="O80" s="391"/>
      <c r="P80" s="391"/>
      <c r="Q80" s="391"/>
      <c r="R80" s="391"/>
      <c r="S80" s="391"/>
      <c r="T80" s="391"/>
      <c r="U80" s="391"/>
      <c r="V80" s="391"/>
      <c r="W80" s="391"/>
    </row>
    <row r="81" ht="15.75" customHeight="1">
      <c r="A81" s="391"/>
      <c r="B81" s="396"/>
      <c r="C81" s="391"/>
      <c r="D81" s="391"/>
      <c r="E81" s="391"/>
      <c r="F81" s="396"/>
      <c r="G81" s="397"/>
      <c r="H81" s="397"/>
      <c r="I81" s="391"/>
      <c r="J81" s="391"/>
      <c r="K81" s="391"/>
      <c r="L81" s="391"/>
      <c r="M81" s="391"/>
      <c r="N81" s="391"/>
      <c r="O81" s="391"/>
      <c r="P81" s="391"/>
      <c r="Q81" s="391"/>
      <c r="R81" s="391"/>
      <c r="S81" s="391"/>
      <c r="T81" s="391"/>
      <c r="U81" s="391"/>
      <c r="V81" s="391"/>
      <c r="W81" s="391"/>
    </row>
    <row r="82" ht="15.75" customHeight="1">
      <c r="A82" s="391"/>
      <c r="B82" s="396"/>
      <c r="C82" s="391"/>
      <c r="D82" s="391"/>
      <c r="E82" s="391"/>
      <c r="F82" s="396"/>
      <c r="G82" s="397"/>
      <c r="H82" s="397"/>
      <c r="I82" s="391"/>
      <c r="J82" s="391"/>
      <c r="K82" s="391"/>
      <c r="L82" s="391"/>
      <c r="M82" s="391"/>
      <c r="N82" s="391"/>
      <c r="O82" s="391"/>
      <c r="P82" s="391"/>
      <c r="Q82" s="391"/>
      <c r="R82" s="391"/>
      <c r="S82" s="391"/>
      <c r="T82" s="391"/>
      <c r="U82" s="391"/>
      <c r="V82" s="391"/>
      <c r="W82" s="391"/>
    </row>
    <row r="83" ht="15.75" customHeight="1">
      <c r="A83" s="391"/>
      <c r="B83" s="396"/>
      <c r="C83" s="391"/>
      <c r="D83" s="391"/>
      <c r="E83" s="391"/>
      <c r="F83" s="396"/>
      <c r="G83" s="397"/>
      <c r="H83" s="397"/>
      <c r="I83" s="391"/>
      <c r="J83" s="391"/>
      <c r="K83" s="391"/>
      <c r="L83" s="391"/>
      <c r="M83" s="391"/>
      <c r="N83" s="391"/>
      <c r="O83" s="391"/>
      <c r="P83" s="391"/>
      <c r="Q83" s="391"/>
      <c r="R83" s="391"/>
      <c r="S83" s="391"/>
      <c r="T83" s="391"/>
      <c r="U83" s="391"/>
      <c r="V83" s="391"/>
      <c r="W83" s="391"/>
    </row>
    <row r="84" ht="15.75" customHeight="1">
      <c r="A84" s="391"/>
      <c r="B84" s="396"/>
      <c r="C84" s="391"/>
      <c r="D84" s="391"/>
      <c r="E84" s="391"/>
      <c r="F84" s="396"/>
      <c r="G84" s="397"/>
      <c r="H84" s="397"/>
      <c r="I84" s="391"/>
      <c r="J84" s="391"/>
      <c r="K84" s="391"/>
      <c r="L84" s="391"/>
      <c r="M84" s="391"/>
      <c r="N84" s="391"/>
      <c r="O84" s="391"/>
      <c r="P84" s="391"/>
      <c r="Q84" s="391"/>
      <c r="R84" s="391"/>
      <c r="S84" s="391"/>
      <c r="T84" s="391"/>
      <c r="U84" s="391"/>
      <c r="V84" s="391"/>
      <c r="W84" s="391"/>
    </row>
    <row r="85" ht="15.75" customHeight="1">
      <c r="A85" s="391"/>
      <c r="B85" s="396"/>
      <c r="C85" s="391"/>
      <c r="D85" s="391"/>
      <c r="E85" s="391"/>
      <c r="F85" s="396"/>
      <c r="G85" s="397"/>
      <c r="H85" s="397"/>
      <c r="I85" s="391"/>
      <c r="J85" s="391"/>
      <c r="K85" s="391"/>
      <c r="L85" s="391"/>
      <c r="M85" s="391"/>
      <c r="N85" s="391"/>
      <c r="O85" s="391"/>
      <c r="P85" s="391"/>
      <c r="Q85" s="391"/>
      <c r="R85" s="391"/>
      <c r="S85" s="391"/>
      <c r="T85" s="391"/>
      <c r="U85" s="391"/>
      <c r="V85" s="391"/>
      <c r="W85" s="391"/>
    </row>
    <row r="86" ht="15.75" customHeight="1">
      <c r="A86" s="391"/>
      <c r="B86" s="396"/>
      <c r="C86" s="391"/>
      <c r="D86" s="391"/>
      <c r="E86" s="391"/>
      <c r="F86" s="396"/>
      <c r="G86" s="397"/>
      <c r="H86" s="397"/>
      <c r="I86" s="391"/>
      <c r="J86" s="391"/>
      <c r="K86" s="391"/>
      <c r="L86" s="391"/>
      <c r="M86" s="391"/>
      <c r="N86" s="391"/>
      <c r="O86" s="391"/>
      <c r="P86" s="391"/>
      <c r="Q86" s="391"/>
      <c r="R86" s="391"/>
      <c r="S86" s="391"/>
      <c r="T86" s="391"/>
      <c r="U86" s="391"/>
      <c r="V86" s="391"/>
      <c r="W86" s="391"/>
    </row>
    <row r="87" ht="15.75" customHeight="1">
      <c r="A87" s="391"/>
      <c r="B87" s="396"/>
      <c r="C87" s="391"/>
      <c r="D87" s="391"/>
      <c r="E87" s="391"/>
      <c r="F87" s="396"/>
      <c r="G87" s="397"/>
      <c r="H87" s="397"/>
      <c r="I87" s="391"/>
      <c r="J87" s="391"/>
      <c r="K87" s="391"/>
      <c r="L87" s="391"/>
      <c r="M87" s="391"/>
      <c r="N87" s="391"/>
      <c r="O87" s="391"/>
      <c r="P87" s="391"/>
      <c r="Q87" s="391"/>
      <c r="R87" s="391"/>
      <c r="S87" s="391"/>
      <c r="T87" s="391"/>
      <c r="U87" s="391"/>
      <c r="V87" s="391"/>
      <c r="W87" s="391"/>
    </row>
    <row r="88" ht="15.75" customHeight="1">
      <c r="A88" s="391"/>
      <c r="B88" s="396"/>
      <c r="C88" s="391"/>
      <c r="D88" s="391"/>
      <c r="E88" s="391"/>
      <c r="F88" s="396"/>
      <c r="G88" s="397"/>
      <c r="H88" s="397"/>
      <c r="I88" s="391"/>
      <c r="J88" s="391"/>
      <c r="K88" s="391"/>
      <c r="L88" s="391"/>
      <c r="M88" s="391"/>
      <c r="N88" s="391"/>
      <c r="O88" s="391"/>
      <c r="P88" s="391"/>
      <c r="Q88" s="391"/>
      <c r="R88" s="391"/>
      <c r="S88" s="391"/>
      <c r="T88" s="391"/>
      <c r="U88" s="391"/>
      <c r="V88" s="391"/>
      <c r="W88" s="391"/>
    </row>
    <row r="89" ht="15.75" customHeight="1">
      <c r="A89" s="391"/>
      <c r="B89" s="396"/>
      <c r="C89" s="391"/>
      <c r="D89" s="391"/>
      <c r="E89" s="391"/>
      <c r="F89" s="396"/>
      <c r="G89" s="397"/>
      <c r="H89" s="397"/>
      <c r="I89" s="391"/>
      <c r="J89" s="391"/>
      <c r="K89" s="391"/>
      <c r="L89" s="391"/>
      <c r="M89" s="391"/>
      <c r="N89" s="391"/>
      <c r="O89" s="391"/>
      <c r="P89" s="391"/>
      <c r="Q89" s="391"/>
      <c r="R89" s="391"/>
      <c r="S89" s="391"/>
      <c r="T89" s="391"/>
      <c r="U89" s="391"/>
      <c r="V89" s="391"/>
      <c r="W89" s="391"/>
    </row>
    <row r="90" ht="15.75" customHeight="1">
      <c r="A90" s="391"/>
      <c r="B90" s="396"/>
      <c r="C90" s="391"/>
      <c r="D90" s="391"/>
      <c r="E90" s="391"/>
      <c r="F90" s="396"/>
      <c r="G90" s="397"/>
      <c r="H90" s="397"/>
      <c r="I90" s="391"/>
      <c r="J90" s="391"/>
      <c r="K90" s="391"/>
      <c r="L90" s="391"/>
      <c r="M90" s="391"/>
      <c r="N90" s="391"/>
      <c r="O90" s="391"/>
      <c r="P90" s="391"/>
      <c r="Q90" s="391"/>
      <c r="R90" s="391"/>
      <c r="S90" s="391"/>
      <c r="T90" s="391"/>
      <c r="U90" s="391"/>
      <c r="V90" s="391"/>
      <c r="W90" s="391"/>
    </row>
    <row r="91" ht="15.75" customHeight="1">
      <c r="A91" s="391"/>
      <c r="B91" s="396"/>
      <c r="C91" s="391"/>
      <c r="D91" s="391"/>
      <c r="E91" s="391"/>
      <c r="F91" s="396"/>
      <c r="G91" s="397"/>
      <c r="H91" s="397"/>
      <c r="I91" s="391"/>
      <c r="J91" s="391"/>
      <c r="K91" s="391"/>
      <c r="L91" s="391"/>
      <c r="M91" s="391"/>
      <c r="N91" s="391"/>
      <c r="O91" s="391"/>
      <c r="P91" s="391"/>
      <c r="Q91" s="391"/>
      <c r="R91" s="391"/>
      <c r="S91" s="391"/>
      <c r="T91" s="391"/>
      <c r="U91" s="391"/>
      <c r="V91" s="391"/>
      <c r="W91" s="391"/>
    </row>
    <row r="92" ht="15.75" customHeight="1">
      <c r="A92" s="391"/>
      <c r="B92" s="396"/>
      <c r="C92" s="391"/>
      <c r="D92" s="391"/>
      <c r="E92" s="391"/>
      <c r="F92" s="396"/>
      <c r="G92" s="397"/>
      <c r="H92" s="397"/>
      <c r="I92" s="391"/>
      <c r="J92" s="391"/>
      <c r="K92" s="391"/>
      <c r="L92" s="391"/>
      <c r="M92" s="391"/>
      <c r="N92" s="391"/>
      <c r="O92" s="391"/>
      <c r="P92" s="391"/>
      <c r="Q92" s="391"/>
      <c r="R92" s="391"/>
      <c r="S92" s="391"/>
      <c r="T92" s="391"/>
      <c r="U92" s="391"/>
      <c r="V92" s="391"/>
      <c r="W92" s="391"/>
    </row>
    <row r="93" ht="15.75" customHeight="1">
      <c r="A93" s="391"/>
      <c r="B93" s="396"/>
      <c r="C93" s="391"/>
      <c r="D93" s="391"/>
      <c r="E93" s="391"/>
      <c r="F93" s="396"/>
      <c r="G93" s="397"/>
      <c r="H93" s="397"/>
      <c r="I93" s="391"/>
      <c r="J93" s="391"/>
      <c r="K93" s="391"/>
      <c r="L93" s="391"/>
      <c r="M93" s="391"/>
      <c r="N93" s="391"/>
      <c r="O93" s="391"/>
      <c r="P93" s="391"/>
      <c r="Q93" s="391"/>
      <c r="R93" s="391"/>
      <c r="S93" s="391"/>
      <c r="T93" s="391"/>
      <c r="U93" s="391"/>
      <c r="V93" s="391"/>
      <c r="W93" s="391"/>
    </row>
    <row r="94" ht="15.75" customHeight="1">
      <c r="A94" s="391"/>
      <c r="B94" s="396"/>
      <c r="C94" s="391"/>
      <c r="D94" s="391"/>
      <c r="E94" s="391"/>
      <c r="F94" s="396"/>
      <c r="G94" s="397"/>
      <c r="H94" s="397"/>
      <c r="I94" s="391"/>
      <c r="J94" s="391"/>
      <c r="K94" s="391"/>
      <c r="L94" s="391"/>
      <c r="M94" s="391"/>
      <c r="N94" s="391"/>
      <c r="O94" s="391"/>
      <c r="P94" s="391"/>
      <c r="Q94" s="391"/>
      <c r="R94" s="391"/>
      <c r="S94" s="391"/>
      <c r="T94" s="391"/>
      <c r="U94" s="391"/>
      <c r="V94" s="391"/>
      <c r="W94" s="391"/>
    </row>
    <row r="95" ht="15.75" customHeight="1">
      <c r="A95" s="391"/>
      <c r="B95" s="396"/>
      <c r="C95" s="391"/>
      <c r="D95" s="391"/>
      <c r="E95" s="391"/>
      <c r="F95" s="396"/>
      <c r="G95" s="397"/>
      <c r="H95" s="397"/>
      <c r="I95" s="391"/>
      <c r="J95" s="391"/>
      <c r="K95" s="391"/>
      <c r="L95" s="391"/>
      <c r="M95" s="391"/>
      <c r="N95" s="391"/>
      <c r="O95" s="391"/>
      <c r="P95" s="391"/>
      <c r="Q95" s="391"/>
      <c r="R95" s="391"/>
      <c r="S95" s="391"/>
      <c r="T95" s="391"/>
      <c r="U95" s="391"/>
      <c r="V95" s="391"/>
      <c r="W95" s="391"/>
    </row>
    <row r="96" ht="15.75" customHeight="1">
      <c r="A96" s="391"/>
      <c r="B96" s="396"/>
      <c r="C96" s="391"/>
      <c r="D96" s="391"/>
      <c r="E96" s="391"/>
      <c r="F96" s="396"/>
      <c r="G96" s="397"/>
      <c r="H96" s="397"/>
      <c r="I96" s="391"/>
      <c r="J96" s="391"/>
      <c r="K96" s="391"/>
      <c r="L96" s="391"/>
      <c r="M96" s="391"/>
      <c r="N96" s="391"/>
      <c r="O96" s="391"/>
      <c r="P96" s="391"/>
      <c r="Q96" s="391"/>
      <c r="R96" s="391"/>
      <c r="S96" s="391"/>
      <c r="T96" s="391"/>
      <c r="U96" s="391"/>
      <c r="V96" s="391"/>
      <c r="W96" s="391"/>
    </row>
    <row r="97" ht="15.75" customHeight="1">
      <c r="A97" s="391"/>
      <c r="B97" s="396"/>
      <c r="C97" s="391"/>
      <c r="D97" s="391"/>
      <c r="E97" s="391"/>
      <c r="F97" s="396"/>
      <c r="G97" s="397"/>
      <c r="H97" s="397"/>
      <c r="I97" s="391"/>
      <c r="J97" s="391"/>
      <c r="K97" s="391"/>
      <c r="L97" s="391"/>
      <c r="M97" s="391"/>
      <c r="N97" s="391"/>
      <c r="O97" s="391"/>
      <c r="P97" s="391"/>
      <c r="Q97" s="391"/>
      <c r="R97" s="391"/>
      <c r="S97" s="391"/>
      <c r="T97" s="391"/>
      <c r="U97" s="391"/>
      <c r="V97" s="391"/>
      <c r="W97" s="391"/>
    </row>
    <row r="98" ht="15.75" customHeight="1">
      <c r="A98" s="391"/>
      <c r="B98" s="396"/>
      <c r="C98" s="391"/>
      <c r="D98" s="391"/>
      <c r="E98" s="391"/>
      <c r="F98" s="396"/>
      <c r="G98" s="397"/>
      <c r="H98" s="397"/>
      <c r="I98" s="391"/>
      <c r="J98" s="391"/>
      <c r="K98" s="391"/>
      <c r="L98" s="391"/>
      <c r="M98" s="391"/>
      <c r="N98" s="391"/>
      <c r="O98" s="391"/>
      <c r="P98" s="391"/>
      <c r="Q98" s="391"/>
      <c r="R98" s="391"/>
      <c r="S98" s="391"/>
      <c r="T98" s="391"/>
      <c r="U98" s="391"/>
      <c r="V98" s="391"/>
      <c r="W98" s="391"/>
    </row>
    <row r="99" ht="15.75" customHeight="1">
      <c r="A99" s="391"/>
      <c r="B99" s="396"/>
      <c r="C99" s="391"/>
      <c r="D99" s="391"/>
      <c r="E99" s="391"/>
      <c r="F99" s="396"/>
      <c r="G99" s="397"/>
      <c r="H99" s="397"/>
      <c r="I99" s="391"/>
      <c r="J99" s="391"/>
      <c r="K99" s="391"/>
      <c r="L99" s="391"/>
      <c r="M99" s="391"/>
      <c r="N99" s="391"/>
      <c r="O99" s="391"/>
      <c r="P99" s="391"/>
      <c r="Q99" s="391"/>
      <c r="R99" s="391"/>
      <c r="S99" s="391"/>
      <c r="T99" s="391"/>
      <c r="U99" s="391"/>
      <c r="V99" s="391"/>
      <c r="W99" s="391"/>
    </row>
    <row r="100" ht="15.75" customHeight="1">
      <c r="A100" s="391"/>
      <c r="B100" s="396"/>
      <c r="C100" s="391"/>
      <c r="D100" s="391"/>
      <c r="E100" s="391"/>
      <c r="F100" s="396"/>
      <c r="G100" s="397"/>
      <c r="H100" s="397"/>
      <c r="I100" s="391"/>
      <c r="J100" s="391"/>
      <c r="K100" s="391"/>
      <c r="L100" s="391"/>
      <c r="M100" s="391"/>
      <c r="N100" s="391"/>
      <c r="O100" s="391"/>
      <c r="P100" s="391"/>
      <c r="Q100" s="391"/>
      <c r="R100" s="391"/>
      <c r="S100" s="391"/>
      <c r="T100" s="391"/>
      <c r="U100" s="391"/>
      <c r="V100" s="391"/>
      <c r="W100" s="391"/>
    </row>
    <row r="101" ht="15.75" customHeight="1">
      <c r="A101" s="391"/>
      <c r="B101" s="396"/>
      <c r="C101" s="391"/>
      <c r="D101" s="391"/>
      <c r="E101" s="391"/>
      <c r="F101" s="396"/>
      <c r="G101" s="397"/>
      <c r="H101" s="397"/>
      <c r="I101" s="391"/>
      <c r="J101" s="391"/>
      <c r="K101" s="391"/>
      <c r="L101" s="391"/>
      <c r="M101" s="391"/>
      <c r="N101" s="391"/>
      <c r="O101" s="391"/>
      <c r="P101" s="391"/>
      <c r="Q101" s="391"/>
      <c r="R101" s="391"/>
      <c r="S101" s="391"/>
      <c r="T101" s="391"/>
      <c r="U101" s="391"/>
      <c r="V101" s="391"/>
      <c r="W101" s="391"/>
    </row>
    <row r="102" ht="15.75" customHeight="1">
      <c r="A102" s="391"/>
      <c r="B102" s="396"/>
      <c r="C102" s="391"/>
      <c r="D102" s="391"/>
      <c r="E102" s="391"/>
      <c r="F102" s="396"/>
      <c r="G102" s="397"/>
      <c r="H102" s="397"/>
      <c r="I102" s="391"/>
      <c r="J102" s="391"/>
      <c r="K102" s="391"/>
      <c r="L102" s="391"/>
      <c r="M102" s="391"/>
      <c r="N102" s="391"/>
      <c r="O102" s="391"/>
      <c r="P102" s="391"/>
      <c r="Q102" s="391"/>
      <c r="R102" s="391"/>
      <c r="S102" s="391"/>
      <c r="T102" s="391"/>
      <c r="U102" s="391"/>
      <c r="V102" s="391"/>
      <c r="W102" s="391"/>
    </row>
    <row r="103" ht="15.75" customHeight="1">
      <c r="A103" s="391"/>
      <c r="B103" s="396"/>
      <c r="C103" s="391"/>
      <c r="D103" s="391"/>
      <c r="E103" s="391"/>
      <c r="F103" s="396"/>
      <c r="G103" s="397"/>
      <c r="H103" s="397"/>
      <c r="I103" s="391"/>
      <c r="J103" s="391"/>
      <c r="K103" s="391"/>
      <c r="L103" s="391"/>
      <c r="M103" s="391"/>
      <c r="N103" s="391"/>
      <c r="O103" s="391"/>
      <c r="P103" s="391"/>
      <c r="Q103" s="391"/>
      <c r="R103" s="391"/>
      <c r="S103" s="391"/>
      <c r="T103" s="391"/>
      <c r="U103" s="391"/>
      <c r="V103" s="391"/>
      <c r="W103" s="391"/>
    </row>
    <row r="104" ht="15.75" customHeight="1">
      <c r="A104" s="391"/>
      <c r="B104" s="396"/>
      <c r="C104" s="391"/>
      <c r="D104" s="391"/>
      <c r="E104" s="391"/>
      <c r="F104" s="396"/>
      <c r="G104" s="397"/>
      <c r="H104" s="397"/>
      <c r="I104" s="391"/>
      <c r="J104" s="391"/>
      <c r="K104" s="391"/>
      <c r="L104" s="391"/>
      <c r="M104" s="391"/>
      <c r="N104" s="391"/>
      <c r="O104" s="391"/>
      <c r="P104" s="391"/>
      <c r="Q104" s="391"/>
      <c r="R104" s="391"/>
      <c r="S104" s="391"/>
      <c r="T104" s="391"/>
      <c r="U104" s="391"/>
      <c r="V104" s="391"/>
      <c r="W104" s="391"/>
    </row>
    <row r="105" ht="15.75" customHeight="1">
      <c r="A105" s="391"/>
      <c r="B105" s="396"/>
      <c r="C105" s="391"/>
      <c r="D105" s="391"/>
      <c r="E105" s="391"/>
      <c r="F105" s="396"/>
      <c r="G105" s="397"/>
      <c r="H105" s="397"/>
      <c r="I105" s="391"/>
      <c r="J105" s="391"/>
      <c r="K105" s="391"/>
      <c r="L105" s="391"/>
      <c r="M105" s="391"/>
      <c r="N105" s="391"/>
      <c r="O105" s="391"/>
      <c r="P105" s="391"/>
      <c r="Q105" s="391"/>
      <c r="R105" s="391"/>
      <c r="S105" s="391"/>
      <c r="T105" s="391"/>
      <c r="U105" s="391"/>
      <c r="V105" s="391"/>
      <c r="W105" s="391"/>
    </row>
    <row r="106" ht="15.75" customHeight="1">
      <c r="A106" s="391"/>
      <c r="B106" s="396"/>
      <c r="C106" s="391"/>
      <c r="D106" s="391"/>
      <c r="E106" s="391"/>
      <c r="F106" s="396"/>
      <c r="G106" s="397"/>
      <c r="H106" s="397"/>
      <c r="I106" s="391"/>
      <c r="J106" s="391"/>
      <c r="K106" s="391"/>
      <c r="L106" s="391"/>
      <c r="M106" s="391"/>
      <c r="N106" s="391"/>
      <c r="O106" s="391"/>
      <c r="P106" s="391"/>
      <c r="Q106" s="391"/>
      <c r="R106" s="391"/>
      <c r="S106" s="391"/>
      <c r="T106" s="391"/>
      <c r="U106" s="391"/>
      <c r="V106" s="391"/>
      <c r="W106" s="391"/>
    </row>
    <row r="107" ht="15.75" customHeight="1">
      <c r="A107" s="391"/>
      <c r="B107" s="396"/>
      <c r="C107" s="391"/>
      <c r="D107" s="391"/>
      <c r="E107" s="391"/>
      <c r="F107" s="396"/>
      <c r="G107" s="397"/>
      <c r="H107" s="397"/>
      <c r="I107" s="391"/>
      <c r="J107" s="391"/>
      <c r="K107" s="391"/>
      <c r="L107" s="391"/>
      <c r="M107" s="391"/>
      <c r="N107" s="391"/>
      <c r="O107" s="391"/>
      <c r="P107" s="391"/>
      <c r="Q107" s="391"/>
      <c r="R107" s="391"/>
      <c r="S107" s="391"/>
      <c r="T107" s="391"/>
      <c r="U107" s="391"/>
      <c r="V107" s="391"/>
      <c r="W107" s="391"/>
    </row>
    <row r="108" ht="15.75" customHeight="1">
      <c r="A108" s="391"/>
      <c r="B108" s="396"/>
      <c r="C108" s="391"/>
      <c r="D108" s="391"/>
      <c r="E108" s="391"/>
      <c r="F108" s="396"/>
      <c r="G108" s="397"/>
      <c r="H108" s="397"/>
      <c r="I108" s="391"/>
      <c r="J108" s="391"/>
      <c r="K108" s="391"/>
      <c r="L108" s="391"/>
      <c r="M108" s="391"/>
      <c r="N108" s="391"/>
      <c r="O108" s="391"/>
      <c r="P108" s="391"/>
      <c r="Q108" s="391"/>
      <c r="R108" s="391"/>
      <c r="S108" s="391"/>
      <c r="T108" s="391"/>
      <c r="U108" s="391"/>
      <c r="V108" s="391"/>
      <c r="W108" s="391"/>
    </row>
    <row r="109" ht="15.75" customHeight="1">
      <c r="A109" s="391"/>
      <c r="B109" s="396"/>
      <c r="C109" s="391"/>
      <c r="D109" s="391"/>
      <c r="E109" s="391"/>
      <c r="F109" s="396"/>
      <c r="G109" s="397"/>
      <c r="H109" s="397"/>
      <c r="I109" s="391"/>
      <c r="J109" s="391"/>
      <c r="K109" s="391"/>
      <c r="L109" s="391"/>
      <c r="M109" s="391"/>
      <c r="N109" s="391"/>
      <c r="O109" s="391"/>
      <c r="P109" s="391"/>
      <c r="Q109" s="391"/>
      <c r="R109" s="391"/>
      <c r="S109" s="391"/>
      <c r="T109" s="391"/>
      <c r="U109" s="391"/>
      <c r="V109" s="391"/>
      <c r="W109" s="391"/>
    </row>
    <row r="110" ht="15.75" customHeight="1">
      <c r="A110" s="391"/>
      <c r="B110" s="396"/>
      <c r="C110" s="391"/>
      <c r="D110" s="391"/>
      <c r="E110" s="391"/>
      <c r="F110" s="396"/>
      <c r="G110" s="397"/>
      <c r="H110" s="397"/>
      <c r="I110" s="391"/>
      <c r="J110" s="391"/>
      <c r="K110" s="391"/>
      <c r="L110" s="391"/>
      <c r="M110" s="391"/>
      <c r="N110" s="391"/>
      <c r="O110" s="391"/>
      <c r="P110" s="391"/>
      <c r="Q110" s="391"/>
      <c r="R110" s="391"/>
      <c r="S110" s="391"/>
      <c r="T110" s="391"/>
      <c r="U110" s="391"/>
      <c r="V110" s="391"/>
      <c r="W110" s="391"/>
    </row>
    <row r="111" ht="15.75" customHeight="1">
      <c r="A111" s="391"/>
      <c r="B111" s="396"/>
      <c r="C111" s="391"/>
      <c r="D111" s="391"/>
      <c r="E111" s="391"/>
      <c r="F111" s="396"/>
      <c r="G111" s="397"/>
      <c r="H111" s="397"/>
      <c r="I111" s="391"/>
      <c r="J111" s="391"/>
      <c r="K111" s="391"/>
      <c r="L111" s="391"/>
      <c r="M111" s="391"/>
      <c r="N111" s="391"/>
      <c r="O111" s="391"/>
      <c r="P111" s="391"/>
      <c r="Q111" s="391"/>
      <c r="R111" s="391"/>
      <c r="S111" s="391"/>
      <c r="T111" s="391"/>
      <c r="U111" s="391"/>
      <c r="V111" s="391"/>
      <c r="W111" s="391"/>
    </row>
    <row r="112" ht="15.75" customHeight="1">
      <c r="A112" s="391"/>
      <c r="B112" s="396"/>
      <c r="C112" s="391"/>
      <c r="D112" s="391"/>
      <c r="E112" s="391"/>
      <c r="F112" s="396"/>
      <c r="G112" s="397"/>
      <c r="H112" s="397"/>
      <c r="I112" s="391"/>
      <c r="J112" s="391"/>
      <c r="K112" s="391"/>
      <c r="L112" s="391"/>
      <c r="M112" s="391"/>
      <c r="N112" s="391"/>
      <c r="O112" s="391"/>
      <c r="P112" s="391"/>
      <c r="Q112" s="391"/>
      <c r="R112" s="391"/>
      <c r="S112" s="391"/>
      <c r="T112" s="391"/>
      <c r="U112" s="391"/>
      <c r="V112" s="391"/>
      <c r="W112" s="391"/>
    </row>
    <row r="113" ht="15.75" customHeight="1">
      <c r="A113" s="391"/>
      <c r="B113" s="396"/>
      <c r="C113" s="391"/>
      <c r="D113" s="391"/>
      <c r="E113" s="391"/>
      <c r="F113" s="396"/>
      <c r="G113" s="397"/>
      <c r="H113" s="397"/>
      <c r="I113" s="391"/>
      <c r="J113" s="391"/>
      <c r="K113" s="391"/>
      <c r="L113" s="391"/>
      <c r="M113" s="391"/>
      <c r="N113" s="391"/>
      <c r="O113" s="391"/>
      <c r="P113" s="391"/>
      <c r="Q113" s="391"/>
      <c r="R113" s="391"/>
      <c r="S113" s="391"/>
      <c r="T113" s="391"/>
      <c r="U113" s="391"/>
      <c r="V113" s="391"/>
      <c r="W113" s="391"/>
    </row>
    <row r="114" ht="15.75" customHeight="1">
      <c r="A114" s="391"/>
      <c r="B114" s="396"/>
      <c r="C114" s="391"/>
      <c r="D114" s="391"/>
      <c r="E114" s="391"/>
      <c r="F114" s="396"/>
      <c r="G114" s="397"/>
      <c r="H114" s="397"/>
      <c r="I114" s="391"/>
      <c r="J114" s="391"/>
      <c r="K114" s="391"/>
      <c r="L114" s="391"/>
      <c r="M114" s="391"/>
      <c r="N114" s="391"/>
      <c r="O114" s="391"/>
      <c r="P114" s="391"/>
      <c r="Q114" s="391"/>
      <c r="R114" s="391"/>
      <c r="S114" s="391"/>
      <c r="T114" s="391"/>
      <c r="U114" s="391"/>
      <c r="V114" s="391"/>
      <c r="W114" s="391"/>
    </row>
    <row r="115" ht="15.75" customHeight="1">
      <c r="A115" s="391"/>
      <c r="B115" s="396"/>
      <c r="C115" s="391"/>
      <c r="D115" s="391"/>
      <c r="E115" s="391"/>
      <c r="F115" s="396"/>
      <c r="G115" s="397"/>
      <c r="H115" s="397"/>
      <c r="I115" s="391"/>
      <c r="J115" s="391"/>
      <c r="K115" s="391"/>
      <c r="L115" s="391"/>
      <c r="M115" s="391"/>
      <c r="N115" s="391"/>
      <c r="O115" s="391"/>
      <c r="P115" s="391"/>
      <c r="Q115" s="391"/>
      <c r="R115" s="391"/>
      <c r="S115" s="391"/>
      <c r="T115" s="391"/>
      <c r="U115" s="391"/>
      <c r="V115" s="391"/>
      <c r="W115" s="391"/>
    </row>
    <row r="116" ht="15.75" customHeight="1">
      <c r="A116" s="391"/>
      <c r="B116" s="396"/>
      <c r="C116" s="391"/>
      <c r="D116" s="391"/>
      <c r="E116" s="391"/>
      <c r="F116" s="396"/>
      <c r="G116" s="397"/>
      <c r="H116" s="397"/>
      <c r="I116" s="391"/>
      <c r="J116" s="391"/>
      <c r="K116" s="391"/>
      <c r="L116" s="391"/>
      <c r="M116" s="391"/>
      <c r="N116" s="391"/>
      <c r="O116" s="391"/>
      <c r="P116" s="391"/>
      <c r="Q116" s="391"/>
      <c r="R116" s="391"/>
      <c r="S116" s="391"/>
      <c r="T116" s="391"/>
      <c r="U116" s="391"/>
      <c r="V116" s="391"/>
      <c r="W116" s="391"/>
    </row>
    <row r="117" ht="15.75" customHeight="1">
      <c r="A117" s="391"/>
      <c r="B117" s="396"/>
      <c r="C117" s="391"/>
      <c r="D117" s="391"/>
      <c r="E117" s="391"/>
      <c r="F117" s="396"/>
      <c r="G117" s="397"/>
      <c r="H117" s="397"/>
      <c r="I117" s="391"/>
      <c r="J117" s="391"/>
      <c r="K117" s="391"/>
      <c r="L117" s="391"/>
      <c r="M117" s="391"/>
      <c r="N117" s="391"/>
      <c r="O117" s="391"/>
      <c r="P117" s="391"/>
      <c r="Q117" s="391"/>
      <c r="R117" s="391"/>
      <c r="S117" s="391"/>
      <c r="T117" s="391"/>
      <c r="U117" s="391"/>
      <c r="V117" s="391"/>
      <c r="W117" s="391"/>
    </row>
    <row r="118" ht="15.75" customHeight="1">
      <c r="A118" s="391"/>
      <c r="B118" s="396"/>
      <c r="C118" s="391"/>
      <c r="D118" s="391"/>
      <c r="E118" s="391"/>
      <c r="F118" s="396"/>
      <c r="G118" s="397"/>
      <c r="H118" s="397"/>
      <c r="I118" s="391"/>
      <c r="J118" s="391"/>
      <c r="K118" s="391"/>
      <c r="L118" s="391"/>
      <c r="M118" s="391"/>
      <c r="N118" s="391"/>
      <c r="O118" s="391"/>
      <c r="P118" s="391"/>
      <c r="Q118" s="391"/>
      <c r="R118" s="391"/>
      <c r="S118" s="391"/>
      <c r="T118" s="391"/>
      <c r="U118" s="391"/>
      <c r="V118" s="391"/>
      <c r="W118" s="391"/>
    </row>
    <row r="119" ht="15.75" customHeight="1">
      <c r="A119" s="391"/>
      <c r="B119" s="396"/>
      <c r="C119" s="391"/>
      <c r="D119" s="391"/>
      <c r="E119" s="391"/>
      <c r="F119" s="396"/>
      <c r="G119" s="397"/>
      <c r="H119" s="397"/>
      <c r="I119" s="391"/>
      <c r="J119" s="391"/>
      <c r="K119" s="391"/>
      <c r="L119" s="391"/>
      <c r="M119" s="391"/>
      <c r="N119" s="391"/>
      <c r="O119" s="391"/>
      <c r="P119" s="391"/>
      <c r="Q119" s="391"/>
      <c r="R119" s="391"/>
      <c r="S119" s="391"/>
      <c r="T119" s="391"/>
      <c r="U119" s="391"/>
      <c r="V119" s="391"/>
      <c r="W119" s="391"/>
    </row>
    <row r="120" ht="15.75" customHeight="1">
      <c r="A120" s="391"/>
      <c r="B120" s="396"/>
      <c r="C120" s="391"/>
      <c r="D120" s="391"/>
      <c r="E120" s="391"/>
      <c r="F120" s="396"/>
      <c r="G120" s="397"/>
      <c r="H120" s="397"/>
      <c r="I120" s="391"/>
      <c r="J120" s="391"/>
      <c r="K120" s="391"/>
      <c r="L120" s="391"/>
      <c r="M120" s="391"/>
      <c r="N120" s="391"/>
      <c r="O120" s="391"/>
      <c r="P120" s="391"/>
      <c r="Q120" s="391"/>
      <c r="R120" s="391"/>
      <c r="S120" s="391"/>
      <c r="T120" s="391"/>
      <c r="U120" s="391"/>
      <c r="V120" s="391"/>
      <c r="W120" s="391"/>
    </row>
    <row r="121" ht="15.75" customHeight="1">
      <c r="A121" s="391"/>
      <c r="B121" s="396"/>
      <c r="C121" s="391"/>
      <c r="D121" s="391"/>
      <c r="E121" s="391"/>
      <c r="F121" s="396"/>
      <c r="G121" s="397"/>
      <c r="H121" s="397"/>
      <c r="I121" s="391"/>
      <c r="J121" s="391"/>
      <c r="K121" s="391"/>
      <c r="L121" s="391"/>
      <c r="M121" s="391"/>
      <c r="N121" s="391"/>
      <c r="O121" s="391"/>
      <c r="P121" s="391"/>
      <c r="Q121" s="391"/>
      <c r="R121" s="391"/>
      <c r="S121" s="391"/>
      <c r="T121" s="391"/>
      <c r="U121" s="391"/>
      <c r="V121" s="391"/>
      <c r="W121" s="391"/>
    </row>
    <row r="122" ht="15.75" customHeight="1">
      <c r="A122" s="391"/>
      <c r="B122" s="396"/>
      <c r="C122" s="391"/>
      <c r="D122" s="391"/>
      <c r="E122" s="391"/>
      <c r="F122" s="396"/>
      <c r="G122" s="397"/>
      <c r="H122" s="397"/>
      <c r="I122" s="391"/>
      <c r="J122" s="391"/>
      <c r="K122" s="391"/>
      <c r="L122" s="391"/>
      <c r="M122" s="391"/>
      <c r="N122" s="391"/>
      <c r="O122" s="391"/>
      <c r="P122" s="391"/>
      <c r="Q122" s="391"/>
      <c r="R122" s="391"/>
      <c r="S122" s="391"/>
      <c r="T122" s="391"/>
      <c r="U122" s="391"/>
      <c r="V122" s="391"/>
      <c r="W122" s="391"/>
    </row>
    <row r="123" ht="15.75" customHeight="1">
      <c r="A123" s="391"/>
      <c r="B123" s="396"/>
      <c r="C123" s="391"/>
      <c r="D123" s="391"/>
      <c r="E123" s="391"/>
      <c r="F123" s="396"/>
      <c r="G123" s="397"/>
      <c r="H123" s="397"/>
      <c r="I123" s="391"/>
      <c r="J123" s="391"/>
      <c r="K123" s="391"/>
      <c r="L123" s="391"/>
      <c r="M123" s="391"/>
      <c r="N123" s="391"/>
      <c r="O123" s="391"/>
      <c r="P123" s="391"/>
      <c r="Q123" s="391"/>
      <c r="R123" s="391"/>
      <c r="S123" s="391"/>
      <c r="T123" s="391"/>
      <c r="U123" s="391"/>
      <c r="V123" s="391"/>
      <c r="W123" s="391"/>
    </row>
    <row r="124" ht="15.75" customHeight="1">
      <c r="A124" s="391"/>
      <c r="B124" s="396"/>
      <c r="C124" s="391"/>
      <c r="D124" s="391"/>
      <c r="E124" s="391"/>
      <c r="F124" s="396"/>
      <c r="G124" s="397"/>
      <c r="H124" s="397"/>
      <c r="I124" s="391"/>
      <c r="J124" s="391"/>
      <c r="K124" s="391"/>
      <c r="L124" s="391"/>
      <c r="M124" s="391"/>
      <c r="N124" s="391"/>
      <c r="O124" s="391"/>
      <c r="P124" s="391"/>
      <c r="Q124" s="391"/>
      <c r="R124" s="391"/>
      <c r="S124" s="391"/>
      <c r="T124" s="391"/>
      <c r="U124" s="391"/>
      <c r="V124" s="391"/>
      <c r="W124" s="391"/>
    </row>
    <row r="125" ht="15.75" customHeight="1">
      <c r="A125" s="391"/>
      <c r="B125" s="396"/>
      <c r="C125" s="391"/>
      <c r="D125" s="391"/>
      <c r="E125" s="391"/>
      <c r="F125" s="396"/>
      <c r="G125" s="397"/>
      <c r="H125" s="397"/>
      <c r="I125" s="391"/>
      <c r="J125" s="391"/>
      <c r="K125" s="391"/>
      <c r="L125" s="391"/>
      <c r="M125" s="391"/>
      <c r="N125" s="391"/>
      <c r="O125" s="391"/>
      <c r="P125" s="391"/>
      <c r="Q125" s="391"/>
      <c r="R125" s="391"/>
      <c r="S125" s="391"/>
      <c r="T125" s="391"/>
      <c r="U125" s="391"/>
      <c r="V125" s="391"/>
      <c r="W125" s="391"/>
    </row>
    <row r="126" ht="15.75" customHeight="1">
      <c r="A126" s="391"/>
      <c r="B126" s="396"/>
      <c r="C126" s="391"/>
      <c r="D126" s="391"/>
      <c r="E126" s="391"/>
      <c r="F126" s="396"/>
      <c r="G126" s="397"/>
      <c r="H126" s="397"/>
      <c r="I126" s="391"/>
      <c r="J126" s="391"/>
      <c r="K126" s="391"/>
      <c r="L126" s="391"/>
      <c r="M126" s="391"/>
      <c r="N126" s="391"/>
      <c r="O126" s="391"/>
      <c r="P126" s="391"/>
      <c r="Q126" s="391"/>
      <c r="R126" s="391"/>
      <c r="S126" s="391"/>
      <c r="T126" s="391"/>
      <c r="U126" s="391"/>
      <c r="V126" s="391"/>
      <c r="W126" s="391"/>
    </row>
    <row r="127" ht="15.75" customHeight="1">
      <c r="A127" s="391"/>
      <c r="B127" s="396"/>
      <c r="C127" s="391"/>
      <c r="D127" s="391"/>
      <c r="E127" s="391"/>
      <c r="F127" s="396"/>
      <c r="G127" s="397"/>
      <c r="H127" s="397"/>
      <c r="I127" s="391"/>
      <c r="J127" s="391"/>
      <c r="K127" s="391"/>
      <c r="L127" s="391"/>
      <c r="M127" s="391"/>
      <c r="N127" s="391"/>
      <c r="O127" s="391"/>
      <c r="P127" s="391"/>
      <c r="Q127" s="391"/>
      <c r="R127" s="391"/>
      <c r="S127" s="391"/>
      <c r="T127" s="391"/>
      <c r="U127" s="391"/>
      <c r="V127" s="391"/>
      <c r="W127" s="391"/>
    </row>
    <row r="128" ht="15.75" customHeight="1">
      <c r="A128" s="391"/>
      <c r="B128" s="396"/>
      <c r="C128" s="391"/>
      <c r="D128" s="391"/>
      <c r="E128" s="391"/>
      <c r="F128" s="396"/>
      <c r="G128" s="397"/>
      <c r="H128" s="397"/>
      <c r="I128" s="391"/>
      <c r="J128" s="391"/>
      <c r="K128" s="391"/>
      <c r="L128" s="391"/>
      <c r="M128" s="391"/>
      <c r="N128" s="391"/>
      <c r="O128" s="391"/>
      <c r="P128" s="391"/>
      <c r="Q128" s="391"/>
      <c r="R128" s="391"/>
      <c r="S128" s="391"/>
      <c r="T128" s="391"/>
      <c r="U128" s="391"/>
      <c r="V128" s="391"/>
      <c r="W128" s="391"/>
    </row>
    <row r="129" ht="15.75" customHeight="1">
      <c r="A129" s="391"/>
      <c r="B129" s="396"/>
      <c r="C129" s="391"/>
      <c r="D129" s="391"/>
      <c r="E129" s="391"/>
      <c r="F129" s="396"/>
      <c r="G129" s="397"/>
      <c r="H129" s="397"/>
      <c r="I129" s="391"/>
      <c r="J129" s="391"/>
      <c r="K129" s="391"/>
      <c r="L129" s="391"/>
      <c r="M129" s="391"/>
      <c r="N129" s="391"/>
      <c r="O129" s="391"/>
      <c r="P129" s="391"/>
      <c r="Q129" s="391"/>
      <c r="R129" s="391"/>
      <c r="S129" s="391"/>
      <c r="T129" s="391"/>
      <c r="U129" s="391"/>
      <c r="V129" s="391"/>
      <c r="W129" s="391"/>
    </row>
    <row r="130" ht="15.75" customHeight="1">
      <c r="A130" s="391"/>
      <c r="B130" s="396"/>
      <c r="C130" s="391"/>
      <c r="D130" s="391"/>
      <c r="E130" s="391"/>
      <c r="F130" s="396"/>
      <c r="G130" s="397"/>
      <c r="H130" s="397"/>
      <c r="I130" s="391"/>
      <c r="J130" s="391"/>
      <c r="K130" s="391"/>
      <c r="L130" s="391"/>
      <c r="M130" s="391"/>
      <c r="N130" s="391"/>
      <c r="O130" s="391"/>
      <c r="P130" s="391"/>
      <c r="Q130" s="391"/>
      <c r="R130" s="391"/>
      <c r="S130" s="391"/>
      <c r="T130" s="391"/>
      <c r="U130" s="391"/>
      <c r="V130" s="391"/>
      <c r="W130" s="391"/>
    </row>
    <row r="131" ht="15.75" customHeight="1">
      <c r="A131" s="391"/>
      <c r="B131" s="396"/>
      <c r="C131" s="391"/>
      <c r="D131" s="391"/>
      <c r="E131" s="391"/>
      <c r="F131" s="396"/>
      <c r="G131" s="397"/>
      <c r="H131" s="397"/>
      <c r="I131" s="391"/>
      <c r="J131" s="391"/>
      <c r="K131" s="391"/>
      <c r="L131" s="391"/>
      <c r="M131" s="391"/>
      <c r="N131" s="391"/>
      <c r="O131" s="391"/>
      <c r="P131" s="391"/>
      <c r="Q131" s="391"/>
      <c r="R131" s="391"/>
      <c r="S131" s="391"/>
      <c r="T131" s="391"/>
      <c r="U131" s="391"/>
      <c r="V131" s="391"/>
      <c r="W131" s="391"/>
    </row>
    <row r="132" ht="15.75" customHeight="1">
      <c r="A132" s="391"/>
      <c r="B132" s="396"/>
      <c r="C132" s="391"/>
      <c r="D132" s="391"/>
      <c r="E132" s="391"/>
      <c r="F132" s="396"/>
      <c r="G132" s="397"/>
      <c r="H132" s="397"/>
      <c r="I132" s="391"/>
      <c r="J132" s="391"/>
      <c r="K132" s="391"/>
      <c r="L132" s="391"/>
      <c r="M132" s="391"/>
      <c r="N132" s="391"/>
      <c r="O132" s="391"/>
      <c r="P132" s="391"/>
      <c r="Q132" s="391"/>
      <c r="R132" s="391"/>
      <c r="S132" s="391"/>
      <c r="T132" s="391"/>
      <c r="U132" s="391"/>
      <c r="V132" s="391"/>
      <c r="W132" s="391"/>
    </row>
    <row r="133" ht="15.75" customHeight="1">
      <c r="A133" s="391"/>
      <c r="B133" s="396"/>
      <c r="C133" s="391"/>
      <c r="D133" s="391"/>
      <c r="E133" s="391"/>
      <c r="F133" s="396"/>
      <c r="G133" s="397"/>
      <c r="H133" s="397"/>
      <c r="I133" s="391"/>
      <c r="J133" s="391"/>
      <c r="K133" s="391"/>
      <c r="L133" s="391"/>
      <c r="M133" s="391"/>
      <c r="N133" s="391"/>
      <c r="O133" s="391"/>
      <c r="P133" s="391"/>
      <c r="Q133" s="391"/>
      <c r="R133" s="391"/>
      <c r="S133" s="391"/>
      <c r="T133" s="391"/>
      <c r="U133" s="391"/>
      <c r="V133" s="391"/>
      <c r="W133" s="391"/>
    </row>
    <row r="134" ht="15.75" customHeight="1">
      <c r="A134" s="391"/>
      <c r="B134" s="396"/>
      <c r="C134" s="391"/>
      <c r="D134" s="391"/>
      <c r="E134" s="391"/>
      <c r="F134" s="396"/>
      <c r="G134" s="397"/>
      <c r="H134" s="397"/>
      <c r="I134" s="391"/>
      <c r="J134" s="391"/>
      <c r="K134" s="391"/>
      <c r="L134" s="391"/>
      <c r="M134" s="391"/>
      <c r="N134" s="391"/>
      <c r="O134" s="391"/>
      <c r="P134" s="391"/>
      <c r="Q134" s="391"/>
      <c r="R134" s="391"/>
      <c r="S134" s="391"/>
      <c r="T134" s="391"/>
      <c r="U134" s="391"/>
      <c r="V134" s="391"/>
      <c r="W134" s="391"/>
    </row>
    <row r="135" ht="15.75" customHeight="1">
      <c r="A135" s="391"/>
      <c r="B135" s="396"/>
      <c r="C135" s="391"/>
      <c r="D135" s="391"/>
      <c r="E135" s="391"/>
      <c r="F135" s="396"/>
      <c r="G135" s="397"/>
      <c r="H135" s="397"/>
      <c r="I135" s="391"/>
      <c r="J135" s="391"/>
      <c r="K135" s="391"/>
      <c r="L135" s="391"/>
      <c r="M135" s="391"/>
      <c r="N135" s="391"/>
      <c r="O135" s="391"/>
      <c r="P135" s="391"/>
      <c r="Q135" s="391"/>
      <c r="R135" s="391"/>
      <c r="S135" s="391"/>
      <c r="T135" s="391"/>
      <c r="U135" s="391"/>
      <c r="V135" s="391"/>
      <c r="W135" s="391"/>
    </row>
    <row r="136" ht="15.75" customHeight="1">
      <c r="A136" s="391"/>
      <c r="B136" s="396"/>
      <c r="C136" s="391"/>
      <c r="D136" s="391"/>
      <c r="E136" s="391"/>
      <c r="F136" s="396"/>
      <c r="G136" s="397"/>
      <c r="H136" s="397"/>
      <c r="I136" s="391"/>
      <c r="J136" s="391"/>
      <c r="K136" s="391"/>
      <c r="L136" s="391"/>
      <c r="M136" s="391"/>
      <c r="N136" s="391"/>
      <c r="O136" s="391"/>
      <c r="P136" s="391"/>
      <c r="Q136" s="391"/>
      <c r="R136" s="391"/>
      <c r="S136" s="391"/>
      <c r="T136" s="391"/>
      <c r="U136" s="391"/>
      <c r="V136" s="391"/>
      <c r="W136" s="391"/>
    </row>
    <row r="137" ht="15.75" customHeight="1">
      <c r="A137" s="391"/>
      <c r="B137" s="396"/>
      <c r="C137" s="391"/>
      <c r="D137" s="391"/>
      <c r="E137" s="391"/>
      <c r="F137" s="396"/>
      <c r="G137" s="397"/>
      <c r="H137" s="397"/>
      <c r="I137" s="391"/>
      <c r="J137" s="391"/>
      <c r="K137" s="391"/>
      <c r="L137" s="391"/>
      <c r="M137" s="391"/>
      <c r="N137" s="391"/>
      <c r="O137" s="391"/>
      <c r="P137" s="391"/>
      <c r="Q137" s="391"/>
      <c r="R137" s="391"/>
      <c r="S137" s="391"/>
      <c r="T137" s="391"/>
      <c r="U137" s="391"/>
      <c r="V137" s="391"/>
      <c r="W137" s="391"/>
    </row>
    <row r="138" ht="15.75" customHeight="1">
      <c r="A138" s="391"/>
      <c r="B138" s="396"/>
      <c r="C138" s="391"/>
      <c r="D138" s="391"/>
      <c r="E138" s="391"/>
      <c r="F138" s="396"/>
      <c r="G138" s="397"/>
      <c r="H138" s="397"/>
      <c r="I138" s="391"/>
      <c r="J138" s="391"/>
      <c r="K138" s="391"/>
      <c r="L138" s="391"/>
      <c r="M138" s="391"/>
      <c r="N138" s="391"/>
      <c r="O138" s="391"/>
      <c r="P138" s="391"/>
      <c r="Q138" s="391"/>
      <c r="R138" s="391"/>
      <c r="S138" s="391"/>
      <c r="T138" s="391"/>
      <c r="U138" s="391"/>
      <c r="V138" s="391"/>
      <c r="W138" s="391"/>
    </row>
    <row r="139" ht="15.75" customHeight="1">
      <c r="A139" s="391"/>
      <c r="B139" s="396"/>
      <c r="C139" s="391"/>
      <c r="D139" s="391"/>
      <c r="E139" s="391"/>
      <c r="F139" s="396"/>
      <c r="G139" s="397"/>
      <c r="H139" s="397"/>
      <c r="I139" s="391"/>
      <c r="J139" s="391"/>
      <c r="K139" s="391"/>
      <c r="L139" s="391"/>
      <c r="M139" s="391"/>
      <c r="N139" s="391"/>
      <c r="O139" s="391"/>
      <c r="P139" s="391"/>
      <c r="Q139" s="391"/>
      <c r="R139" s="391"/>
      <c r="S139" s="391"/>
      <c r="T139" s="391"/>
      <c r="U139" s="391"/>
      <c r="V139" s="391"/>
      <c r="W139" s="391"/>
    </row>
    <row r="140" ht="15.75" customHeight="1">
      <c r="A140" s="391"/>
      <c r="B140" s="396"/>
      <c r="C140" s="391"/>
      <c r="D140" s="391"/>
      <c r="E140" s="391"/>
      <c r="F140" s="396"/>
      <c r="G140" s="397"/>
      <c r="H140" s="397"/>
      <c r="I140" s="391"/>
      <c r="J140" s="391"/>
      <c r="K140" s="391"/>
      <c r="L140" s="391"/>
      <c r="M140" s="391"/>
      <c r="N140" s="391"/>
      <c r="O140" s="391"/>
      <c r="P140" s="391"/>
      <c r="Q140" s="391"/>
      <c r="R140" s="391"/>
      <c r="S140" s="391"/>
      <c r="T140" s="391"/>
      <c r="U140" s="391"/>
      <c r="V140" s="391"/>
      <c r="W140" s="391"/>
    </row>
    <row r="141" ht="15.75" customHeight="1">
      <c r="A141" s="391"/>
      <c r="B141" s="396"/>
      <c r="C141" s="391"/>
      <c r="D141" s="391"/>
      <c r="E141" s="391"/>
      <c r="F141" s="396"/>
      <c r="G141" s="397"/>
      <c r="H141" s="397"/>
      <c r="I141" s="391"/>
      <c r="J141" s="391"/>
      <c r="K141" s="391"/>
      <c r="L141" s="391"/>
      <c r="M141" s="391"/>
      <c r="N141" s="391"/>
      <c r="O141" s="391"/>
      <c r="P141" s="391"/>
      <c r="Q141" s="391"/>
      <c r="R141" s="391"/>
      <c r="S141" s="391"/>
      <c r="T141" s="391"/>
      <c r="U141" s="391"/>
      <c r="V141" s="391"/>
      <c r="W141" s="391"/>
    </row>
    <row r="142" ht="15.75" customHeight="1">
      <c r="A142" s="391"/>
      <c r="B142" s="396"/>
      <c r="C142" s="391"/>
      <c r="D142" s="391"/>
      <c r="E142" s="391"/>
      <c r="F142" s="396"/>
      <c r="G142" s="397"/>
      <c r="H142" s="397"/>
      <c r="I142" s="391"/>
      <c r="J142" s="391"/>
      <c r="K142" s="391"/>
      <c r="L142" s="391"/>
      <c r="M142" s="391"/>
      <c r="N142" s="391"/>
      <c r="O142" s="391"/>
      <c r="P142" s="391"/>
      <c r="Q142" s="391"/>
      <c r="R142" s="391"/>
      <c r="S142" s="391"/>
      <c r="T142" s="391"/>
      <c r="U142" s="391"/>
      <c r="V142" s="391"/>
      <c r="W142" s="391"/>
    </row>
    <row r="143" ht="15.75" customHeight="1">
      <c r="A143" s="391"/>
      <c r="B143" s="396"/>
      <c r="C143" s="391"/>
      <c r="D143" s="391"/>
      <c r="E143" s="391"/>
      <c r="F143" s="396"/>
      <c r="G143" s="397"/>
      <c r="H143" s="397"/>
      <c r="I143" s="391"/>
      <c r="J143" s="391"/>
      <c r="K143" s="391"/>
      <c r="L143" s="391"/>
      <c r="M143" s="391"/>
      <c r="N143" s="391"/>
      <c r="O143" s="391"/>
      <c r="P143" s="391"/>
      <c r="Q143" s="391"/>
      <c r="R143" s="391"/>
      <c r="S143" s="391"/>
      <c r="T143" s="391"/>
      <c r="U143" s="391"/>
      <c r="V143" s="391"/>
      <c r="W143" s="391"/>
    </row>
    <row r="144" ht="15.75" customHeight="1">
      <c r="A144" s="391"/>
      <c r="B144" s="396"/>
      <c r="C144" s="391"/>
      <c r="D144" s="391"/>
      <c r="E144" s="391"/>
      <c r="F144" s="396"/>
      <c r="G144" s="397"/>
      <c r="H144" s="397"/>
      <c r="I144" s="391"/>
      <c r="J144" s="391"/>
      <c r="K144" s="391"/>
      <c r="L144" s="391"/>
      <c r="M144" s="391"/>
      <c r="N144" s="391"/>
      <c r="O144" s="391"/>
      <c r="P144" s="391"/>
      <c r="Q144" s="391"/>
      <c r="R144" s="391"/>
      <c r="S144" s="391"/>
      <c r="T144" s="391"/>
      <c r="U144" s="391"/>
      <c r="V144" s="391"/>
      <c r="W144" s="391"/>
    </row>
    <row r="145" ht="15.75" customHeight="1">
      <c r="A145" s="391"/>
      <c r="B145" s="396"/>
      <c r="C145" s="391"/>
      <c r="D145" s="391"/>
      <c r="E145" s="391"/>
      <c r="F145" s="396"/>
      <c r="G145" s="397"/>
      <c r="H145" s="397"/>
      <c r="I145" s="391"/>
      <c r="J145" s="391"/>
      <c r="K145" s="391"/>
      <c r="L145" s="391"/>
      <c r="M145" s="391"/>
      <c r="N145" s="391"/>
      <c r="O145" s="391"/>
      <c r="P145" s="391"/>
      <c r="Q145" s="391"/>
      <c r="R145" s="391"/>
      <c r="S145" s="391"/>
      <c r="T145" s="391"/>
      <c r="U145" s="391"/>
      <c r="V145" s="391"/>
      <c r="W145" s="391"/>
    </row>
    <row r="146" ht="15.75" customHeight="1">
      <c r="A146" s="391"/>
      <c r="B146" s="396"/>
      <c r="C146" s="391"/>
      <c r="D146" s="391"/>
      <c r="E146" s="391"/>
      <c r="F146" s="396"/>
      <c r="G146" s="397"/>
      <c r="H146" s="397"/>
      <c r="I146" s="391"/>
      <c r="J146" s="391"/>
      <c r="K146" s="391"/>
      <c r="L146" s="391"/>
      <c r="M146" s="391"/>
      <c r="N146" s="391"/>
      <c r="O146" s="391"/>
      <c r="P146" s="391"/>
      <c r="Q146" s="391"/>
      <c r="R146" s="391"/>
      <c r="S146" s="391"/>
      <c r="T146" s="391"/>
      <c r="U146" s="391"/>
      <c r="V146" s="391"/>
      <c r="W146" s="391"/>
    </row>
    <row r="147" ht="15.75" customHeight="1">
      <c r="A147" s="391"/>
      <c r="B147" s="396"/>
      <c r="C147" s="391"/>
      <c r="D147" s="391"/>
      <c r="E147" s="391"/>
      <c r="F147" s="396"/>
      <c r="G147" s="397"/>
      <c r="H147" s="397"/>
      <c r="I147" s="391"/>
      <c r="J147" s="391"/>
      <c r="K147" s="391"/>
      <c r="L147" s="391"/>
      <c r="M147" s="391"/>
      <c r="N147" s="391"/>
      <c r="O147" s="391"/>
      <c r="P147" s="391"/>
      <c r="Q147" s="391"/>
      <c r="R147" s="391"/>
      <c r="S147" s="391"/>
      <c r="T147" s="391"/>
      <c r="U147" s="391"/>
      <c r="V147" s="391"/>
      <c r="W147" s="391"/>
    </row>
    <row r="148" ht="15.75" customHeight="1">
      <c r="A148" s="391"/>
      <c r="B148" s="396"/>
      <c r="C148" s="391"/>
      <c r="D148" s="391"/>
      <c r="E148" s="391"/>
      <c r="F148" s="396"/>
      <c r="G148" s="397"/>
      <c r="H148" s="397"/>
      <c r="I148" s="391"/>
      <c r="J148" s="391"/>
      <c r="K148" s="391"/>
      <c r="L148" s="391"/>
      <c r="M148" s="391"/>
      <c r="N148" s="391"/>
      <c r="O148" s="391"/>
      <c r="P148" s="391"/>
      <c r="Q148" s="391"/>
      <c r="R148" s="391"/>
      <c r="S148" s="391"/>
      <c r="T148" s="391"/>
      <c r="U148" s="391"/>
      <c r="V148" s="391"/>
      <c r="W148" s="391"/>
    </row>
    <row r="149" ht="15.75" customHeight="1">
      <c r="A149" s="391"/>
      <c r="B149" s="396"/>
      <c r="C149" s="391"/>
      <c r="D149" s="391"/>
      <c r="E149" s="391"/>
      <c r="F149" s="396"/>
      <c r="G149" s="397"/>
      <c r="H149" s="397"/>
      <c r="I149" s="391"/>
      <c r="J149" s="391"/>
      <c r="K149" s="391"/>
      <c r="L149" s="391"/>
      <c r="M149" s="391"/>
      <c r="N149" s="391"/>
      <c r="O149" s="391"/>
      <c r="P149" s="391"/>
      <c r="Q149" s="391"/>
      <c r="R149" s="391"/>
      <c r="S149" s="391"/>
      <c r="T149" s="391"/>
      <c r="U149" s="391"/>
      <c r="V149" s="391"/>
      <c r="W149" s="391"/>
    </row>
    <row r="150" ht="15.75" customHeight="1">
      <c r="A150" s="391"/>
      <c r="B150" s="396"/>
      <c r="C150" s="391"/>
      <c r="D150" s="391"/>
      <c r="E150" s="391"/>
      <c r="F150" s="396"/>
      <c r="G150" s="397"/>
      <c r="H150" s="397"/>
      <c r="I150" s="391"/>
      <c r="J150" s="391"/>
      <c r="K150" s="391"/>
      <c r="L150" s="391"/>
      <c r="M150" s="391"/>
      <c r="N150" s="391"/>
      <c r="O150" s="391"/>
      <c r="P150" s="391"/>
      <c r="Q150" s="391"/>
      <c r="R150" s="391"/>
      <c r="S150" s="391"/>
      <c r="T150" s="391"/>
      <c r="U150" s="391"/>
      <c r="V150" s="391"/>
      <c r="W150" s="391"/>
    </row>
    <row r="151" ht="15.75" customHeight="1">
      <c r="A151" s="391"/>
      <c r="B151" s="396"/>
      <c r="C151" s="391"/>
      <c r="D151" s="391"/>
      <c r="E151" s="391"/>
      <c r="F151" s="396"/>
      <c r="G151" s="397"/>
      <c r="H151" s="397"/>
      <c r="I151" s="391"/>
      <c r="J151" s="391"/>
      <c r="K151" s="391"/>
      <c r="L151" s="391"/>
      <c r="M151" s="391"/>
      <c r="N151" s="391"/>
      <c r="O151" s="391"/>
      <c r="P151" s="391"/>
      <c r="Q151" s="391"/>
      <c r="R151" s="391"/>
      <c r="S151" s="391"/>
      <c r="T151" s="391"/>
      <c r="U151" s="391"/>
      <c r="V151" s="391"/>
      <c r="W151" s="391"/>
    </row>
    <row r="152" ht="15.75" customHeight="1">
      <c r="A152" s="391"/>
      <c r="B152" s="396"/>
      <c r="C152" s="391"/>
      <c r="D152" s="391"/>
      <c r="E152" s="391"/>
      <c r="F152" s="396"/>
      <c r="G152" s="397"/>
      <c r="H152" s="397"/>
      <c r="I152" s="391"/>
      <c r="J152" s="391"/>
      <c r="K152" s="391"/>
      <c r="L152" s="391"/>
      <c r="M152" s="391"/>
      <c r="N152" s="391"/>
      <c r="O152" s="391"/>
      <c r="P152" s="391"/>
      <c r="Q152" s="391"/>
      <c r="R152" s="391"/>
      <c r="S152" s="391"/>
      <c r="T152" s="391"/>
      <c r="U152" s="391"/>
      <c r="V152" s="391"/>
      <c r="W152" s="391"/>
    </row>
    <row r="153" ht="15.75" customHeight="1">
      <c r="A153" s="391"/>
      <c r="B153" s="396"/>
      <c r="C153" s="391"/>
      <c r="D153" s="391"/>
      <c r="E153" s="391"/>
      <c r="F153" s="396"/>
      <c r="G153" s="397"/>
      <c r="H153" s="397"/>
      <c r="I153" s="391"/>
      <c r="J153" s="391"/>
      <c r="K153" s="391"/>
      <c r="L153" s="391"/>
      <c r="M153" s="391"/>
      <c r="N153" s="391"/>
      <c r="O153" s="391"/>
      <c r="P153" s="391"/>
      <c r="Q153" s="391"/>
      <c r="R153" s="391"/>
      <c r="S153" s="391"/>
      <c r="T153" s="391"/>
      <c r="U153" s="391"/>
      <c r="V153" s="391"/>
      <c r="W153" s="391"/>
    </row>
    <row r="154" ht="15.75" customHeight="1">
      <c r="A154" s="391"/>
      <c r="B154" s="396"/>
      <c r="C154" s="391"/>
      <c r="D154" s="391"/>
      <c r="E154" s="391"/>
      <c r="F154" s="396"/>
      <c r="G154" s="397"/>
      <c r="H154" s="397"/>
      <c r="I154" s="391"/>
      <c r="J154" s="391"/>
      <c r="K154" s="391"/>
      <c r="L154" s="391"/>
      <c r="M154" s="391"/>
      <c r="N154" s="391"/>
      <c r="O154" s="391"/>
      <c r="P154" s="391"/>
      <c r="Q154" s="391"/>
      <c r="R154" s="391"/>
      <c r="S154" s="391"/>
      <c r="T154" s="391"/>
      <c r="U154" s="391"/>
      <c r="V154" s="391"/>
      <c r="W154" s="391"/>
    </row>
    <row r="155" ht="15.75" customHeight="1">
      <c r="A155" s="391"/>
      <c r="B155" s="396"/>
      <c r="C155" s="391"/>
      <c r="D155" s="391"/>
      <c r="E155" s="391"/>
      <c r="F155" s="396"/>
      <c r="G155" s="397"/>
      <c r="H155" s="397"/>
      <c r="I155" s="391"/>
      <c r="J155" s="391"/>
      <c r="K155" s="391"/>
      <c r="L155" s="391"/>
      <c r="M155" s="391"/>
      <c r="N155" s="391"/>
      <c r="O155" s="391"/>
      <c r="P155" s="391"/>
      <c r="Q155" s="391"/>
      <c r="R155" s="391"/>
      <c r="S155" s="391"/>
      <c r="T155" s="391"/>
      <c r="U155" s="391"/>
      <c r="V155" s="391"/>
      <c r="W155" s="391"/>
    </row>
    <row r="156" ht="15.75" customHeight="1">
      <c r="A156" s="391"/>
      <c r="B156" s="396"/>
      <c r="C156" s="391"/>
      <c r="D156" s="391"/>
      <c r="E156" s="391"/>
      <c r="F156" s="396"/>
      <c r="G156" s="397"/>
      <c r="H156" s="397"/>
      <c r="I156" s="391"/>
      <c r="J156" s="391"/>
      <c r="K156" s="391"/>
      <c r="L156" s="391"/>
      <c r="M156" s="391"/>
      <c r="N156" s="391"/>
      <c r="O156" s="391"/>
      <c r="P156" s="391"/>
      <c r="Q156" s="391"/>
      <c r="R156" s="391"/>
      <c r="S156" s="391"/>
      <c r="T156" s="391"/>
      <c r="U156" s="391"/>
      <c r="V156" s="391"/>
      <c r="W156" s="391"/>
    </row>
    <row r="157" ht="15.75" customHeight="1">
      <c r="A157" s="391"/>
      <c r="B157" s="396"/>
      <c r="C157" s="391"/>
      <c r="D157" s="391"/>
      <c r="E157" s="391"/>
      <c r="F157" s="396"/>
      <c r="G157" s="397"/>
      <c r="H157" s="397"/>
      <c r="I157" s="391"/>
      <c r="J157" s="391"/>
      <c r="K157" s="391"/>
      <c r="L157" s="391"/>
      <c r="M157" s="391"/>
      <c r="N157" s="391"/>
      <c r="O157" s="391"/>
      <c r="P157" s="391"/>
      <c r="Q157" s="391"/>
      <c r="R157" s="391"/>
      <c r="S157" s="391"/>
      <c r="T157" s="391"/>
      <c r="U157" s="391"/>
      <c r="V157" s="391"/>
      <c r="W157" s="391"/>
    </row>
    <row r="158" ht="15.75" customHeight="1">
      <c r="A158" s="391"/>
      <c r="B158" s="396"/>
      <c r="C158" s="391"/>
      <c r="D158" s="391"/>
      <c r="E158" s="391"/>
      <c r="F158" s="396"/>
      <c r="G158" s="397"/>
      <c r="H158" s="397"/>
      <c r="I158" s="391"/>
      <c r="J158" s="391"/>
      <c r="K158" s="391"/>
      <c r="L158" s="391"/>
      <c r="M158" s="391"/>
      <c r="N158" s="391"/>
      <c r="O158" s="391"/>
      <c r="P158" s="391"/>
      <c r="Q158" s="391"/>
      <c r="R158" s="391"/>
      <c r="S158" s="391"/>
      <c r="T158" s="391"/>
      <c r="U158" s="391"/>
      <c r="V158" s="391"/>
      <c r="W158" s="391"/>
    </row>
    <row r="159" ht="15.75" customHeight="1">
      <c r="A159" s="391"/>
      <c r="B159" s="396"/>
      <c r="C159" s="391"/>
      <c r="D159" s="391"/>
      <c r="E159" s="391"/>
      <c r="F159" s="396"/>
      <c r="G159" s="397"/>
      <c r="H159" s="397"/>
      <c r="I159" s="391"/>
      <c r="J159" s="391"/>
      <c r="K159" s="391"/>
      <c r="L159" s="391"/>
      <c r="M159" s="391"/>
      <c r="N159" s="391"/>
      <c r="O159" s="391"/>
      <c r="P159" s="391"/>
      <c r="Q159" s="391"/>
      <c r="R159" s="391"/>
      <c r="S159" s="391"/>
      <c r="T159" s="391"/>
      <c r="U159" s="391"/>
      <c r="V159" s="391"/>
      <c r="W159" s="391"/>
    </row>
    <row r="160" ht="15.75" customHeight="1">
      <c r="A160" s="391"/>
      <c r="B160" s="396"/>
      <c r="C160" s="391"/>
      <c r="D160" s="391"/>
      <c r="E160" s="391"/>
      <c r="F160" s="396"/>
      <c r="G160" s="397"/>
      <c r="H160" s="397"/>
      <c r="I160" s="391"/>
      <c r="J160" s="391"/>
      <c r="K160" s="391"/>
      <c r="L160" s="391"/>
      <c r="M160" s="391"/>
      <c r="N160" s="391"/>
      <c r="O160" s="391"/>
      <c r="P160" s="391"/>
      <c r="Q160" s="391"/>
      <c r="R160" s="391"/>
      <c r="S160" s="391"/>
      <c r="T160" s="391"/>
      <c r="U160" s="391"/>
      <c r="V160" s="391"/>
      <c r="W160" s="391"/>
    </row>
    <row r="161" ht="15.75" customHeight="1">
      <c r="A161" s="391"/>
      <c r="B161" s="396"/>
      <c r="C161" s="391"/>
      <c r="D161" s="391"/>
      <c r="E161" s="391"/>
      <c r="F161" s="396"/>
      <c r="G161" s="397"/>
      <c r="H161" s="397"/>
      <c r="I161" s="391"/>
      <c r="J161" s="391"/>
      <c r="K161" s="391"/>
      <c r="L161" s="391"/>
      <c r="M161" s="391"/>
      <c r="N161" s="391"/>
      <c r="O161" s="391"/>
      <c r="P161" s="391"/>
      <c r="Q161" s="391"/>
      <c r="R161" s="391"/>
      <c r="S161" s="391"/>
      <c r="T161" s="391"/>
      <c r="U161" s="391"/>
      <c r="V161" s="391"/>
      <c r="W161" s="391"/>
    </row>
    <row r="162" ht="15.75" customHeight="1">
      <c r="A162" s="391"/>
      <c r="B162" s="396"/>
      <c r="C162" s="391"/>
      <c r="D162" s="391"/>
      <c r="E162" s="391"/>
      <c r="F162" s="396"/>
      <c r="G162" s="397"/>
      <c r="H162" s="397"/>
      <c r="I162" s="391"/>
      <c r="J162" s="391"/>
      <c r="K162" s="391"/>
      <c r="L162" s="391"/>
      <c r="M162" s="391"/>
      <c r="N162" s="391"/>
      <c r="O162" s="391"/>
      <c r="P162" s="391"/>
      <c r="Q162" s="391"/>
      <c r="R162" s="391"/>
      <c r="S162" s="391"/>
      <c r="T162" s="391"/>
      <c r="U162" s="391"/>
      <c r="V162" s="391"/>
      <c r="W162" s="391"/>
    </row>
    <row r="163" ht="15.75" customHeight="1">
      <c r="A163" s="391"/>
      <c r="B163" s="396"/>
      <c r="C163" s="391"/>
      <c r="D163" s="391"/>
      <c r="E163" s="391"/>
      <c r="F163" s="396"/>
      <c r="G163" s="397"/>
      <c r="H163" s="397"/>
      <c r="I163" s="391"/>
      <c r="J163" s="391"/>
      <c r="K163" s="391"/>
      <c r="L163" s="391"/>
      <c r="M163" s="391"/>
      <c r="N163" s="391"/>
      <c r="O163" s="391"/>
      <c r="P163" s="391"/>
      <c r="Q163" s="391"/>
      <c r="R163" s="391"/>
      <c r="S163" s="391"/>
      <c r="T163" s="391"/>
      <c r="U163" s="391"/>
      <c r="V163" s="391"/>
      <c r="W163" s="391"/>
    </row>
    <row r="164" ht="15.75" customHeight="1">
      <c r="A164" s="391"/>
      <c r="B164" s="396"/>
      <c r="C164" s="391"/>
      <c r="D164" s="391"/>
      <c r="E164" s="391"/>
      <c r="F164" s="396"/>
      <c r="G164" s="397"/>
      <c r="H164" s="397"/>
      <c r="I164" s="391"/>
      <c r="J164" s="391"/>
      <c r="K164" s="391"/>
      <c r="L164" s="391"/>
      <c r="M164" s="391"/>
      <c r="N164" s="391"/>
      <c r="O164" s="391"/>
      <c r="P164" s="391"/>
      <c r="Q164" s="391"/>
      <c r="R164" s="391"/>
      <c r="S164" s="391"/>
      <c r="T164" s="391"/>
      <c r="U164" s="391"/>
      <c r="V164" s="391"/>
      <c r="W164" s="391"/>
    </row>
    <row r="165" ht="15.75" customHeight="1">
      <c r="A165" s="391"/>
      <c r="B165" s="396"/>
      <c r="C165" s="391"/>
      <c r="D165" s="391"/>
      <c r="E165" s="391"/>
      <c r="F165" s="396"/>
      <c r="G165" s="397"/>
      <c r="H165" s="397"/>
      <c r="I165" s="391"/>
      <c r="J165" s="391"/>
      <c r="K165" s="391"/>
      <c r="L165" s="391"/>
      <c r="M165" s="391"/>
      <c r="N165" s="391"/>
      <c r="O165" s="391"/>
      <c r="P165" s="391"/>
      <c r="Q165" s="391"/>
      <c r="R165" s="391"/>
      <c r="S165" s="391"/>
      <c r="T165" s="391"/>
      <c r="U165" s="391"/>
      <c r="V165" s="391"/>
      <c r="W165" s="391"/>
    </row>
    <row r="166" ht="15.75" customHeight="1">
      <c r="A166" s="391"/>
      <c r="B166" s="396"/>
      <c r="C166" s="391"/>
      <c r="D166" s="391"/>
      <c r="E166" s="391"/>
      <c r="F166" s="396"/>
      <c r="G166" s="397"/>
      <c r="H166" s="397"/>
      <c r="I166" s="391"/>
      <c r="J166" s="391"/>
      <c r="K166" s="391"/>
      <c r="L166" s="391"/>
      <c r="M166" s="391"/>
      <c r="N166" s="391"/>
      <c r="O166" s="391"/>
      <c r="P166" s="391"/>
      <c r="Q166" s="391"/>
      <c r="R166" s="391"/>
      <c r="S166" s="391"/>
      <c r="T166" s="391"/>
      <c r="U166" s="391"/>
      <c r="V166" s="391"/>
      <c r="W166" s="391"/>
    </row>
    <row r="167" ht="15.75" customHeight="1">
      <c r="A167" s="391"/>
      <c r="B167" s="396"/>
      <c r="C167" s="391"/>
      <c r="D167" s="391"/>
      <c r="E167" s="391"/>
      <c r="F167" s="396"/>
      <c r="G167" s="397"/>
      <c r="H167" s="397"/>
      <c r="I167" s="391"/>
      <c r="J167" s="391"/>
      <c r="K167" s="391"/>
      <c r="L167" s="391"/>
      <c r="M167" s="391"/>
      <c r="N167" s="391"/>
      <c r="O167" s="391"/>
      <c r="P167" s="391"/>
      <c r="Q167" s="391"/>
      <c r="R167" s="391"/>
      <c r="S167" s="391"/>
      <c r="T167" s="391"/>
      <c r="U167" s="391"/>
      <c r="V167" s="391"/>
      <c r="W167" s="391"/>
    </row>
    <row r="168" ht="15.75" customHeight="1">
      <c r="A168" s="391"/>
      <c r="B168" s="396"/>
      <c r="C168" s="391"/>
      <c r="D168" s="391"/>
      <c r="E168" s="391"/>
      <c r="F168" s="396"/>
      <c r="G168" s="397"/>
      <c r="H168" s="397"/>
      <c r="I168" s="391"/>
      <c r="J168" s="391"/>
      <c r="K168" s="391"/>
      <c r="L168" s="391"/>
      <c r="M168" s="391"/>
      <c r="N168" s="391"/>
      <c r="O168" s="391"/>
      <c r="P168" s="391"/>
      <c r="Q168" s="391"/>
      <c r="R168" s="391"/>
      <c r="S168" s="391"/>
      <c r="T168" s="391"/>
      <c r="U168" s="391"/>
      <c r="V168" s="391"/>
      <c r="W168" s="391"/>
    </row>
    <row r="169" ht="15.75" customHeight="1">
      <c r="A169" s="391"/>
      <c r="B169" s="396"/>
      <c r="C169" s="391"/>
      <c r="D169" s="391"/>
      <c r="E169" s="391"/>
      <c r="F169" s="396"/>
      <c r="G169" s="397"/>
      <c r="H169" s="397"/>
      <c r="I169" s="391"/>
      <c r="J169" s="391"/>
      <c r="K169" s="391"/>
      <c r="L169" s="391"/>
      <c r="M169" s="391"/>
      <c r="N169" s="391"/>
      <c r="O169" s="391"/>
      <c r="P169" s="391"/>
      <c r="Q169" s="391"/>
      <c r="R169" s="391"/>
      <c r="S169" s="391"/>
      <c r="T169" s="391"/>
      <c r="U169" s="391"/>
      <c r="V169" s="391"/>
      <c r="W169" s="391"/>
    </row>
    <row r="170" ht="15.75" customHeight="1">
      <c r="A170" s="391"/>
      <c r="B170" s="396"/>
      <c r="C170" s="391"/>
      <c r="D170" s="391"/>
      <c r="E170" s="391"/>
      <c r="F170" s="396"/>
      <c r="G170" s="397"/>
      <c r="H170" s="397"/>
      <c r="I170" s="391"/>
      <c r="J170" s="391"/>
      <c r="K170" s="391"/>
      <c r="L170" s="391"/>
      <c r="M170" s="391"/>
      <c r="N170" s="391"/>
      <c r="O170" s="391"/>
      <c r="P170" s="391"/>
      <c r="Q170" s="391"/>
      <c r="R170" s="391"/>
      <c r="S170" s="391"/>
      <c r="T170" s="391"/>
      <c r="U170" s="391"/>
      <c r="V170" s="391"/>
      <c r="W170" s="391"/>
    </row>
    <row r="171" ht="15.75" customHeight="1">
      <c r="A171" s="391"/>
      <c r="B171" s="396"/>
      <c r="C171" s="391"/>
      <c r="D171" s="391"/>
      <c r="E171" s="391"/>
      <c r="F171" s="396"/>
      <c r="G171" s="397"/>
      <c r="H171" s="397"/>
      <c r="I171" s="391"/>
      <c r="J171" s="391"/>
      <c r="K171" s="391"/>
      <c r="L171" s="391"/>
      <c r="M171" s="391"/>
      <c r="N171" s="391"/>
      <c r="O171" s="391"/>
      <c r="P171" s="391"/>
      <c r="Q171" s="391"/>
      <c r="R171" s="391"/>
      <c r="S171" s="391"/>
      <c r="T171" s="391"/>
      <c r="U171" s="391"/>
      <c r="V171" s="391"/>
      <c r="W171" s="391"/>
    </row>
    <row r="172" ht="15.75" customHeight="1">
      <c r="A172" s="391"/>
      <c r="B172" s="396"/>
      <c r="C172" s="391"/>
      <c r="D172" s="391"/>
      <c r="E172" s="391"/>
      <c r="F172" s="396"/>
      <c r="G172" s="397"/>
      <c r="H172" s="397"/>
      <c r="I172" s="391"/>
      <c r="J172" s="391"/>
      <c r="K172" s="391"/>
      <c r="L172" s="391"/>
      <c r="M172" s="391"/>
      <c r="N172" s="391"/>
      <c r="O172" s="391"/>
      <c r="P172" s="391"/>
      <c r="Q172" s="391"/>
      <c r="R172" s="391"/>
      <c r="S172" s="391"/>
      <c r="T172" s="391"/>
      <c r="U172" s="391"/>
      <c r="V172" s="391"/>
      <c r="W172" s="391"/>
    </row>
    <row r="173" ht="15.75" customHeight="1">
      <c r="A173" s="391"/>
      <c r="B173" s="396"/>
      <c r="C173" s="391"/>
      <c r="D173" s="391"/>
      <c r="E173" s="391"/>
      <c r="F173" s="396"/>
      <c r="G173" s="397"/>
      <c r="H173" s="397"/>
      <c r="I173" s="391"/>
      <c r="J173" s="391"/>
      <c r="K173" s="391"/>
      <c r="L173" s="391"/>
      <c r="M173" s="391"/>
      <c r="N173" s="391"/>
      <c r="O173" s="391"/>
      <c r="P173" s="391"/>
      <c r="Q173" s="391"/>
      <c r="R173" s="391"/>
      <c r="S173" s="391"/>
      <c r="T173" s="391"/>
      <c r="U173" s="391"/>
      <c r="V173" s="391"/>
      <c r="W173" s="391"/>
    </row>
    <row r="174" ht="15.75" customHeight="1">
      <c r="A174" s="391"/>
      <c r="B174" s="396"/>
      <c r="C174" s="391"/>
      <c r="D174" s="391"/>
      <c r="E174" s="391"/>
      <c r="F174" s="396"/>
      <c r="G174" s="397"/>
      <c r="H174" s="397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  <c r="T174" s="391"/>
      <c r="U174" s="391"/>
      <c r="V174" s="391"/>
      <c r="W174" s="391"/>
    </row>
    <row r="175" ht="15.75" customHeight="1">
      <c r="A175" s="391"/>
      <c r="B175" s="396"/>
      <c r="C175" s="391"/>
      <c r="D175" s="391"/>
      <c r="E175" s="391"/>
      <c r="F175" s="396"/>
      <c r="G175" s="397"/>
      <c r="H175" s="397"/>
      <c r="I175" s="391"/>
      <c r="J175" s="391"/>
      <c r="K175" s="391"/>
      <c r="L175" s="391"/>
      <c r="M175" s="391"/>
      <c r="N175" s="391"/>
      <c r="O175" s="391"/>
      <c r="P175" s="391"/>
      <c r="Q175" s="391"/>
      <c r="R175" s="391"/>
      <c r="S175" s="391"/>
      <c r="T175" s="391"/>
      <c r="U175" s="391"/>
      <c r="V175" s="391"/>
      <c r="W175" s="391"/>
    </row>
    <row r="176" ht="15.75" customHeight="1">
      <c r="A176" s="391"/>
      <c r="B176" s="396"/>
      <c r="C176" s="391"/>
      <c r="D176" s="391"/>
      <c r="E176" s="391"/>
      <c r="F176" s="396"/>
      <c r="G176" s="397"/>
      <c r="H176" s="397"/>
      <c r="I176" s="391"/>
      <c r="J176" s="391"/>
      <c r="K176" s="391"/>
      <c r="L176" s="391"/>
      <c r="M176" s="391"/>
      <c r="N176" s="391"/>
      <c r="O176" s="391"/>
      <c r="P176" s="391"/>
      <c r="Q176" s="391"/>
      <c r="R176" s="391"/>
      <c r="S176" s="391"/>
      <c r="T176" s="391"/>
      <c r="U176" s="391"/>
      <c r="V176" s="391"/>
      <c r="W176" s="391"/>
    </row>
    <row r="177" ht="15.75" customHeight="1">
      <c r="A177" s="391"/>
      <c r="B177" s="396"/>
      <c r="C177" s="391"/>
      <c r="D177" s="391"/>
      <c r="E177" s="391"/>
      <c r="F177" s="396"/>
      <c r="G177" s="397"/>
      <c r="H177" s="397"/>
      <c r="I177" s="391"/>
      <c r="J177" s="391"/>
      <c r="K177" s="391"/>
      <c r="L177" s="391"/>
      <c r="M177" s="391"/>
      <c r="N177" s="391"/>
      <c r="O177" s="391"/>
      <c r="P177" s="391"/>
      <c r="Q177" s="391"/>
      <c r="R177" s="391"/>
      <c r="S177" s="391"/>
      <c r="T177" s="391"/>
      <c r="U177" s="391"/>
      <c r="V177" s="391"/>
      <c r="W177" s="391"/>
    </row>
    <row r="178" ht="15.75" customHeight="1">
      <c r="A178" s="391"/>
      <c r="B178" s="396"/>
      <c r="C178" s="391"/>
      <c r="D178" s="391"/>
      <c r="E178" s="391"/>
      <c r="F178" s="396"/>
      <c r="G178" s="397"/>
      <c r="H178" s="397"/>
      <c r="I178" s="391"/>
      <c r="J178" s="391"/>
      <c r="K178" s="391"/>
      <c r="L178" s="391"/>
      <c r="M178" s="391"/>
      <c r="N178" s="391"/>
      <c r="O178" s="391"/>
      <c r="P178" s="391"/>
      <c r="Q178" s="391"/>
      <c r="R178" s="391"/>
      <c r="S178" s="391"/>
      <c r="T178" s="391"/>
      <c r="U178" s="391"/>
      <c r="V178" s="391"/>
      <c r="W178" s="391"/>
    </row>
    <row r="179" ht="15.75" customHeight="1">
      <c r="A179" s="391"/>
      <c r="B179" s="396"/>
      <c r="C179" s="391"/>
      <c r="D179" s="391"/>
      <c r="E179" s="391"/>
      <c r="F179" s="396"/>
      <c r="G179" s="397"/>
      <c r="H179" s="397"/>
      <c r="I179" s="391"/>
      <c r="J179" s="391"/>
      <c r="K179" s="391"/>
      <c r="L179" s="391"/>
      <c r="M179" s="391"/>
      <c r="N179" s="391"/>
      <c r="O179" s="391"/>
      <c r="P179" s="391"/>
      <c r="Q179" s="391"/>
      <c r="R179" s="391"/>
      <c r="S179" s="391"/>
      <c r="T179" s="391"/>
      <c r="U179" s="391"/>
      <c r="V179" s="391"/>
      <c r="W179" s="391"/>
    </row>
    <row r="180" ht="15.75" customHeight="1">
      <c r="A180" s="391"/>
      <c r="B180" s="396"/>
      <c r="C180" s="391"/>
      <c r="D180" s="391"/>
      <c r="E180" s="391"/>
      <c r="F180" s="396"/>
      <c r="G180" s="397"/>
      <c r="H180" s="397"/>
      <c r="I180" s="391"/>
      <c r="J180" s="391"/>
      <c r="K180" s="391"/>
      <c r="L180" s="391"/>
      <c r="M180" s="391"/>
      <c r="N180" s="391"/>
      <c r="O180" s="391"/>
      <c r="P180" s="391"/>
      <c r="Q180" s="391"/>
      <c r="R180" s="391"/>
      <c r="S180" s="391"/>
      <c r="T180" s="391"/>
      <c r="U180" s="391"/>
      <c r="V180" s="391"/>
      <c r="W180" s="391"/>
    </row>
    <row r="181" ht="15.75" customHeight="1">
      <c r="A181" s="391"/>
      <c r="B181" s="396"/>
      <c r="C181" s="391"/>
      <c r="D181" s="391"/>
      <c r="E181" s="391"/>
      <c r="F181" s="396"/>
      <c r="G181" s="397"/>
      <c r="H181" s="397"/>
      <c r="I181" s="391"/>
      <c r="J181" s="391"/>
      <c r="K181" s="391"/>
      <c r="L181" s="391"/>
      <c r="M181" s="391"/>
      <c r="N181" s="391"/>
      <c r="O181" s="391"/>
      <c r="P181" s="391"/>
      <c r="Q181" s="391"/>
      <c r="R181" s="391"/>
      <c r="S181" s="391"/>
      <c r="T181" s="391"/>
      <c r="U181" s="391"/>
      <c r="V181" s="391"/>
      <c r="W181" s="391"/>
    </row>
    <row r="182" ht="15.75" customHeight="1">
      <c r="A182" s="391"/>
      <c r="B182" s="396"/>
      <c r="C182" s="391"/>
      <c r="D182" s="391"/>
      <c r="E182" s="391"/>
      <c r="F182" s="396"/>
      <c r="G182" s="397"/>
      <c r="H182" s="397"/>
      <c r="I182" s="391"/>
      <c r="J182" s="391"/>
      <c r="K182" s="391"/>
      <c r="L182" s="391"/>
      <c r="M182" s="391"/>
      <c r="N182" s="391"/>
      <c r="O182" s="391"/>
      <c r="P182" s="391"/>
      <c r="Q182" s="391"/>
      <c r="R182" s="391"/>
      <c r="S182" s="391"/>
      <c r="T182" s="391"/>
      <c r="U182" s="391"/>
      <c r="V182" s="391"/>
      <c r="W182" s="391"/>
    </row>
    <row r="183" ht="15.75" customHeight="1">
      <c r="A183" s="391"/>
      <c r="B183" s="396"/>
      <c r="C183" s="391"/>
      <c r="D183" s="391"/>
      <c r="E183" s="391"/>
      <c r="F183" s="396"/>
      <c r="G183" s="397"/>
      <c r="H183" s="397"/>
      <c r="I183" s="391"/>
      <c r="J183" s="391"/>
      <c r="K183" s="391"/>
      <c r="L183" s="391"/>
      <c r="M183" s="391"/>
      <c r="N183" s="391"/>
      <c r="O183" s="391"/>
      <c r="P183" s="391"/>
      <c r="Q183" s="391"/>
      <c r="R183" s="391"/>
      <c r="S183" s="391"/>
      <c r="T183" s="391"/>
      <c r="U183" s="391"/>
      <c r="V183" s="391"/>
      <c r="W183" s="391"/>
    </row>
    <row r="184" ht="15.75" customHeight="1">
      <c r="A184" s="391"/>
      <c r="B184" s="396"/>
      <c r="C184" s="391"/>
      <c r="D184" s="391"/>
      <c r="E184" s="391"/>
      <c r="F184" s="396"/>
      <c r="G184" s="397"/>
      <c r="H184" s="397"/>
      <c r="I184" s="391"/>
      <c r="J184" s="391"/>
      <c r="K184" s="391"/>
      <c r="L184" s="391"/>
      <c r="M184" s="391"/>
      <c r="N184" s="391"/>
      <c r="O184" s="391"/>
      <c r="P184" s="391"/>
      <c r="Q184" s="391"/>
      <c r="R184" s="391"/>
      <c r="S184" s="391"/>
      <c r="T184" s="391"/>
      <c r="U184" s="391"/>
      <c r="V184" s="391"/>
      <c r="W184" s="391"/>
    </row>
    <row r="185" ht="15.75" customHeight="1">
      <c r="A185" s="391"/>
      <c r="B185" s="396"/>
      <c r="C185" s="391"/>
      <c r="D185" s="391"/>
      <c r="E185" s="391"/>
      <c r="F185" s="396"/>
      <c r="G185" s="397"/>
      <c r="H185" s="397"/>
      <c r="I185" s="391"/>
      <c r="J185" s="391"/>
      <c r="K185" s="391"/>
      <c r="L185" s="391"/>
      <c r="M185" s="391"/>
      <c r="N185" s="391"/>
      <c r="O185" s="391"/>
      <c r="P185" s="391"/>
      <c r="Q185" s="391"/>
      <c r="R185" s="391"/>
      <c r="S185" s="391"/>
      <c r="T185" s="391"/>
      <c r="U185" s="391"/>
      <c r="V185" s="391"/>
      <c r="W185" s="391"/>
    </row>
    <row r="186" ht="15.75" customHeight="1">
      <c r="A186" s="391"/>
      <c r="B186" s="396"/>
      <c r="C186" s="391"/>
      <c r="D186" s="391"/>
      <c r="E186" s="391"/>
      <c r="F186" s="396"/>
      <c r="G186" s="397"/>
      <c r="H186" s="397"/>
      <c r="I186" s="391"/>
      <c r="J186" s="391"/>
      <c r="K186" s="391"/>
      <c r="L186" s="391"/>
      <c r="M186" s="391"/>
      <c r="N186" s="391"/>
      <c r="O186" s="391"/>
      <c r="P186" s="391"/>
      <c r="Q186" s="391"/>
      <c r="R186" s="391"/>
      <c r="S186" s="391"/>
      <c r="T186" s="391"/>
      <c r="U186" s="391"/>
      <c r="V186" s="391"/>
      <c r="W186" s="391"/>
    </row>
    <row r="187" ht="15.75" customHeight="1">
      <c r="A187" s="391"/>
      <c r="B187" s="396"/>
      <c r="C187" s="391"/>
      <c r="D187" s="391"/>
      <c r="E187" s="391"/>
      <c r="F187" s="396"/>
      <c r="G187" s="397"/>
      <c r="H187" s="397"/>
      <c r="I187" s="391"/>
      <c r="J187" s="391"/>
      <c r="K187" s="391"/>
      <c r="L187" s="391"/>
      <c r="M187" s="391"/>
      <c r="N187" s="391"/>
      <c r="O187" s="391"/>
      <c r="P187" s="391"/>
      <c r="Q187" s="391"/>
      <c r="R187" s="391"/>
      <c r="S187" s="391"/>
      <c r="T187" s="391"/>
      <c r="U187" s="391"/>
      <c r="V187" s="391"/>
      <c r="W187" s="391"/>
    </row>
    <row r="188" ht="15.75" customHeight="1">
      <c r="A188" s="391"/>
      <c r="B188" s="396"/>
      <c r="C188" s="391"/>
      <c r="D188" s="391"/>
      <c r="E188" s="391"/>
      <c r="F188" s="396"/>
      <c r="G188" s="397"/>
      <c r="H188" s="397"/>
      <c r="I188" s="391"/>
      <c r="J188" s="391"/>
      <c r="K188" s="391"/>
      <c r="L188" s="391"/>
      <c r="M188" s="391"/>
      <c r="N188" s="391"/>
      <c r="O188" s="391"/>
      <c r="P188" s="391"/>
      <c r="Q188" s="391"/>
      <c r="R188" s="391"/>
      <c r="S188" s="391"/>
      <c r="T188" s="391"/>
      <c r="U188" s="391"/>
      <c r="V188" s="391"/>
      <c r="W188" s="391"/>
    </row>
    <row r="189" ht="15.75" customHeight="1">
      <c r="A189" s="391"/>
      <c r="B189" s="396"/>
      <c r="C189" s="391"/>
      <c r="D189" s="391"/>
      <c r="E189" s="391"/>
      <c r="F189" s="396"/>
      <c r="G189" s="397"/>
      <c r="H189" s="397"/>
      <c r="I189" s="391"/>
      <c r="J189" s="391"/>
      <c r="K189" s="391"/>
      <c r="L189" s="391"/>
      <c r="M189" s="391"/>
      <c r="N189" s="391"/>
      <c r="O189" s="391"/>
      <c r="P189" s="391"/>
      <c r="Q189" s="391"/>
      <c r="R189" s="391"/>
      <c r="S189" s="391"/>
      <c r="T189" s="391"/>
      <c r="U189" s="391"/>
      <c r="V189" s="391"/>
      <c r="W189" s="391"/>
    </row>
    <row r="190" ht="15.75" customHeight="1">
      <c r="A190" s="391"/>
      <c r="B190" s="396"/>
      <c r="C190" s="391"/>
      <c r="D190" s="391"/>
      <c r="E190" s="391"/>
      <c r="F190" s="396"/>
      <c r="G190" s="397"/>
      <c r="H190" s="397"/>
      <c r="I190" s="391"/>
      <c r="J190" s="391"/>
      <c r="K190" s="391"/>
      <c r="L190" s="391"/>
      <c r="M190" s="391"/>
      <c r="N190" s="391"/>
      <c r="O190" s="391"/>
      <c r="P190" s="391"/>
      <c r="Q190" s="391"/>
      <c r="R190" s="391"/>
      <c r="S190" s="391"/>
      <c r="T190" s="391"/>
      <c r="U190" s="391"/>
      <c r="V190" s="391"/>
      <c r="W190" s="391"/>
    </row>
    <row r="191" ht="15.75" customHeight="1">
      <c r="A191" s="391"/>
      <c r="B191" s="396"/>
      <c r="C191" s="391"/>
      <c r="D191" s="391"/>
      <c r="E191" s="391"/>
      <c r="F191" s="396"/>
      <c r="G191" s="397"/>
      <c r="H191" s="397"/>
      <c r="I191" s="391"/>
      <c r="J191" s="391"/>
      <c r="K191" s="391"/>
      <c r="L191" s="391"/>
      <c r="M191" s="391"/>
      <c r="N191" s="391"/>
      <c r="O191" s="391"/>
      <c r="P191" s="391"/>
      <c r="Q191" s="391"/>
      <c r="R191" s="391"/>
      <c r="S191" s="391"/>
      <c r="T191" s="391"/>
      <c r="U191" s="391"/>
      <c r="V191" s="391"/>
      <c r="W191" s="391"/>
    </row>
    <row r="192" ht="15.75" customHeight="1">
      <c r="A192" s="391"/>
      <c r="B192" s="396"/>
      <c r="C192" s="391"/>
      <c r="D192" s="391"/>
      <c r="E192" s="391"/>
      <c r="F192" s="396"/>
      <c r="G192" s="397"/>
      <c r="H192" s="397"/>
      <c r="I192" s="391"/>
      <c r="J192" s="391"/>
      <c r="K192" s="391"/>
      <c r="L192" s="391"/>
      <c r="M192" s="391"/>
      <c r="N192" s="391"/>
      <c r="O192" s="391"/>
      <c r="P192" s="391"/>
      <c r="Q192" s="391"/>
      <c r="R192" s="391"/>
      <c r="S192" s="391"/>
      <c r="T192" s="391"/>
      <c r="U192" s="391"/>
      <c r="V192" s="391"/>
      <c r="W192" s="391"/>
    </row>
    <row r="193" ht="15.75" customHeight="1">
      <c r="A193" s="391"/>
      <c r="B193" s="396"/>
      <c r="C193" s="391"/>
      <c r="D193" s="391"/>
      <c r="E193" s="391"/>
      <c r="F193" s="396"/>
      <c r="G193" s="397"/>
      <c r="H193" s="397"/>
      <c r="I193" s="391"/>
      <c r="J193" s="391"/>
      <c r="K193" s="391"/>
      <c r="L193" s="391"/>
      <c r="M193" s="391"/>
      <c r="N193" s="391"/>
      <c r="O193" s="391"/>
      <c r="P193" s="391"/>
      <c r="Q193" s="391"/>
      <c r="R193" s="391"/>
      <c r="S193" s="391"/>
      <c r="T193" s="391"/>
      <c r="U193" s="391"/>
      <c r="V193" s="391"/>
      <c r="W193" s="391"/>
    </row>
    <row r="194" ht="15.75" customHeight="1">
      <c r="A194" s="391"/>
      <c r="B194" s="396"/>
      <c r="C194" s="391"/>
      <c r="D194" s="391"/>
      <c r="E194" s="391"/>
      <c r="F194" s="396"/>
      <c r="G194" s="397"/>
      <c r="H194" s="397"/>
      <c r="I194" s="391"/>
      <c r="J194" s="391"/>
      <c r="K194" s="391"/>
      <c r="L194" s="391"/>
      <c r="M194" s="391"/>
      <c r="N194" s="391"/>
      <c r="O194" s="391"/>
      <c r="P194" s="391"/>
      <c r="Q194" s="391"/>
      <c r="R194" s="391"/>
      <c r="S194" s="391"/>
      <c r="T194" s="391"/>
      <c r="U194" s="391"/>
      <c r="V194" s="391"/>
      <c r="W194" s="391"/>
    </row>
    <row r="195" ht="15.75" customHeight="1">
      <c r="A195" s="391"/>
      <c r="B195" s="396"/>
      <c r="C195" s="391"/>
      <c r="D195" s="391"/>
      <c r="E195" s="391"/>
      <c r="F195" s="396"/>
      <c r="G195" s="397"/>
      <c r="H195" s="397"/>
      <c r="I195" s="391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  <c r="T195" s="391"/>
      <c r="U195" s="391"/>
      <c r="V195" s="391"/>
      <c r="W195" s="391"/>
    </row>
    <row r="196" ht="15.75" customHeight="1">
      <c r="A196" s="391"/>
      <c r="B196" s="396"/>
      <c r="C196" s="391"/>
      <c r="D196" s="391"/>
      <c r="E196" s="391"/>
      <c r="F196" s="396"/>
      <c r="G196" s="397"/>
      <c r="H196" s="397"/>
      <c r="I196" s="391"/>
      <c r="J196" s="391"/>
      <c r="K196" s="391"/>
      <c r="L196" s="391"/>
      <c r="M196" s="391"/>
      <c r="N196" s="391"/>
      <c r="O196" s="391"/>
      <c r="P196" s="391"/>
      <c r="Q196" s="391"/>
      <c r="R196" s="391"/>
      <c r="S196" s="391"/>
      <c r="T196" s="391"/>
      <c r="U196" s="391"/>
      <c r="V196" s="391"/>
      <c r="W196" s="391"/>
    </row>
    <row r="197" ht="15.75" customHeight="1">
      <c r="A197" s="391"/>
      <c r="B197" s="396"/>
      <c r="C197" s="391"/>
      <c r="D197" s="391"/>
      <c r="E197" s="391"/>
      <c r="F197" s="396"/>
      <c r="G197" s="397"/>
      <c r="H197" s="397"/>
      <c r="I197" s="391"/>
      <c r="J197" s="391"/>
      <c r="K197" s="391"/>
      <c r="L197" s="391"/>
      <c r="M197" s="391"/>
      <c r="N197" s="391"/>
      <c r="O197" s="391"/>
      <c r="P197" s="391"/>
      <c r="Q197" s="391"/>
      <c r="R197" s="391"/>
      <c r="S197" s="391"/>
      <c r="T197" s="391"/>
      <c r="U197" s="391"/>
      <c r="V197" s="391"/>
      <c r="W197" s="391"/>
    </row>
    <row r="198" ht="15.75" customHeight="1">
      <c r="A198" s="391"/>
      <c r="B198" s="396"/>
      <c r="C198" s="391"/>
      <c r="D198" s="391"/>
      <c r="E198" s="391"/>
      <c r="F198" s="396"/>
      <c r="G198" s="397"/>
      <c r="H198" s="397"/>
      <c r="I198" s="391"/>
      <c r="J198" s="391"/>
      <c r="K198" s="391"/>
      <c r="L198" s="391"/>
      <c r="M198" s="391"/>
      <c r="N198" s="391"/>
      <c r="O198" s="391"/>
      <c r="P198" s="391"/>
      <c r="Q198" s="391"/>
      <c r="R198" s="391"/>
      <c r="S198" s="391"/>
      <c r="T198" s="391"/>
      <c r="U198" s="391"/>
      <c r="V198" s="391"/>
      <c r="W198" s="391"/>
    </row>
    <row r="199" ht="15.75" customHeight="1">
      <c r="A199" s="391"/>
      <c r="B199" s="396"/>
      <c r="C199" s="391"/>
      <c r="D199" s="391"/>
      <c r="E199" s="391"/>
      <c r="F199" s="396"/>
      <c r="G199" s="397"/>
      <c r="H199" s="397"/>
      <c r="I199" s="391"/>
      <c r="J199" s="391"/>
      <c r="K199" s="391"/>
      <c r="L199" s="391"/>
      <c r="M199" s="391"/>
      <c r="N199" s="391"/>
      <c r="O199" s="391"/>
      <c r="P199" s="391"/>
      <c r="Q199" s="391"/>
      <c r="R199" s="391"/>
      <c r="S199" s="391"/>
      <c r="T199" s="391"/>
      <c r="U199" s="391"/>
      <c r="V199" s="391"/>
      <c r="W199" s="391"/>
    </row>
    <row r="200" ht="15.75" customHeight="1">
      <c r="A200" s="391"/>
      <c r="B200" s="396"/>
      <c r="C200" s="391"/>
      <c r="D200" s="391"/>
      <c r="E200" s="391"/>
      <c r="F200" s="396"/>
      <c r="G200" s="397"/>
      <c r="H200" s="397"/>
      <c r="I200" s="391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  <c r="T200" s="391"/>
      <c r="U200" s="391"/>
      <c r="V200" s="391"/>
      <c r="W200" s="391"/>
    </row>
    <row r="201" ht="15.75" customHeight="1">
      <c r="A201" s="391"/>
      <c r="B201" s="396"/>
      <c r="C201" s="391"/>
      <c r="D201" s="391"/>
      <c r="E201" s="391"/>
      <c r="F201" s="396"/>
      <c r="G201" s="397"/>
      <c r="H201" s="397"/>
      <c r="I201" s="391"/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  <c r="T201" s="391"/>
      <c r="U201" s="391"/>
      <c r="V201" s="391"/>
      <c r="W201" s="391"/>
    </row>
    <row r="202" ht="15.75" customHeight="1">
      <c r="A202" s="391"/>
      <c r="B202" s="396"/>
      <c r="C202" s="391"/>
      <c r="D202" s="391"/>
      <c r="E202" s="391"/>
      <c r="F202" s="396"/>
      <c r="G202" s="397"/>
      <c r="H202" s="397"/>
      <c r="I202" s="391"/>
      <c r="J202" s="391"/>
      <c r="K202" s="391"/>
      <c r="L202" s="391"/>
      <c r="M202" s="391"/>
      <c r="N202" s="391"/>
      <c r="O202" s="391"/>
      <c r="P202" s="391"/>
      <c r="Q202" s="391"/>
      <c r="R202" s="391"/>
      <c r="S202" s="391"/>
      <c r="T202" s="391"/>
      <c r="U202" s="391"/>
      <c r="V202" s="391"/>
      <c r="W202" s="391"/>
    </row>
    <row r="203" ht="15.75" customHeight="1">
      <c r="A203" s="391"/>
      <c r="B203" s="396"/>
      <c r="C203" s="391"/>
      <c r="D203" s="391"/>
      <c r="E203" s="391"/>
      <c r="F203" s="396"/>
      <c r="G203" s="397"/>
      <c r="H203" s="397"/>
      <c r="I203" s="391"/>
      <c r="J203" s="391"/>
      <c r="K203" s="391"/>
      <c r="L203" s="391"/>
      <c r="M203" s="391"/>
      <c r="N203" s="391"/>
      <c r="O203" s="391"/>
      <c r="P203" s="391"/>
      <c r="Q203" s="391"/>
      <c r="R203" s="391"/>
      <c r="S203" s="391"/>
      <c r="T203" s="391"/>
      <c r="U203" s="391"/>
      <c r="V203" s="391"/>
      <c r="W203" s="391"/>
    </row>
    <row r="204" ht="15.75" customHeight="1">
      <c r="A204" s="391"/>
      <c r="B204" s="396"/>
      <c r="C204" s="391"/>
      <c r="D204" s="391"/>
      <c r="E204" s="391"/>
      <c r="F204" s="396"/>
      <c r="G204" s="397"/>
      <c r="H204" s="397"/>
      <c r="I204" s="391"/>
      <c r="J204" s="391"/>
      <c r="K204" s="391"/>
      <c r="L204" s="391"/>
      <c r="M204" s="391"/>
      <c r="N204" s="391"/>
      <c r="O204" s="391"/>
      <c r="P204" s="391"/>
      <c r="Q204" s="391"/>
      <c r="R204" s="391"/>
      <c r="S204" s="391"/>
      <c r="T204" s="391"/>
      <c r="U204" s="391"/>
      <c r="V204" s="391"/>
      <c r="W204" s="391"/>
    </row>
    <row r="205" ht="15.75" customHeight="1">
      <c r="A205" s="391"/>
      <c r="B205" s="396"/>
      <c r="C205" s="391"/>
      <c r="D205" s="391"/>
      <c r="E205" s="391"/>
      <c r="F205" s="396"/>
      <c r="G205" s="397"/>
      <c r="H205" s="397"/>
      <c r="I205" s="391"/>
      <c r="J205" s="391"/>
      <c r="K205" s="391"/>
      <c r="L205" s="391"/>
      <c r="M205" s="391"/>
      <c r="N205" s="391"/>
      <c r="O205" s="391"/>
      <c r="P205" s="391"/>
      <c r="Q205" s="391"/>
      <c r="R205" s="391"/>
      <c r="S205" s="391"/>
      <c r="T205" s="391"/>
      <c r="U205" s="391"/>
      <c r="V205" s="391"/>
      <c r="W205" s="391"/>
    </row>
    <row r="206" ht="15.75" customHeight="1">
      <c r="A206" s="391"/>
      <c r="B206" s="396"/>
      <c r="C206" s="391"/>
      <c r="D206" s="391"/>
      <c r="E206" s="391"/>
      <c r="F206" s="396"/>
      <c r="G206" s="397"/>
      <c r="H206" s="397"/>
      <c r="I206" s="391"/>
      <c r="J206" s="391"/>
      <c r="K206" s="391"/>
      <c r="L206" s="391"/>
      <c r="M206" s="391"/>
      <c r="N206" s="391"/>
      <c r="O206" s="391"/>
      <c r="P206" s="391"/>
      <c r="Q206" s="391"/>
      <c r="R206" s="391"/>
      <c r="S206" s="391"/>
      <c r="T206" s="391"/>
      <c r="U206" s="391"/>
      <c r="V206" s="391"/>
      <c r="W206" s="391"/>
    </row>
    <row r="207" ht="15.75" customHeight="1">
      <c r="A207" s="391"/>
      <c r="B207" s="396"/>
      <c r="C207" s="391"/>
      <c r="D207" s="391"/>
      <c r="E207" s="391"/>
      <c r="F207" s="396"/>
      <c r="G207" s="397"/>
      <c r="H207" s="397"/>
      <c r="I207" s="391"/>
      <c r="J207" s="391"/>
      <c r="K207" s="391"/>
      <c r="L207" s="391"/>
      <c r="M207" s="391"/>
      <c r="N207" s="391"/>
      <c r="O207" s="391"/>
      <c r="P207" s="391"/>
      <c r="Q207" s="391"/>
      <c r="R207" s="391"/>
      <c r="S207" s="391"/>
      <c r="T207" s="391"/>
      <c r="U207" s="391"/>
      <c r="V207" s="391"/>
      <c r="W207" s="391"/>
    </row>
    <row r="208" ht="15.75" customHeight="1">
      <c r="A208" s="391"/>
      <c r="B208" s="396"/>
      <c r="C208" s="391"/>
      <c r="D208" s="391"/>
      <c r="E208" s="391"/>
      <c r="F208" s="396"/>
      <c r="G208" s="397"/>
      <c r="H208" s="397"/>
      <c r="I208" s="391"/>
      <c r="J208" s="391"/>
      <c r="K208" s="391"/>
      <c r="L208" s="391"/>
      <c r="M208" s="391"/>
      <c r="N208" s="391"/>
      <c r="O208" s="391"/>
      <c r="P208" s="391"/>
      <c r="Q208" s="391"/>
      <c r="R208" s="391"/>
      <c r="S208" s="391"/>
      <c r="T208" s="391"/>
      <c r="U208" s="391"/>
      <c r="V208" s="391"/>
      <c r="W208" s="391"/>
    </row>
    <row r="209" ht="15.75" customHeight="1">
      <c r="A209" s="391"/>
      <c r="B209" s="396"/>
      <c r="C209" s="391"/>
      <c r="D209" s="391"/>
      <c r="E209" s="391"/>
      <c r="F209" s="396"/>
      <c r="G209" s="397"/>
      <c r="H209" s="397"/>
      <c r="I209" s="391"/>
      <c r="J209" s="391"/>
      <c r="K209" s="391"/>
      <c r="L209" s="391"/>
      <c r="M209" s="391"/>
      <c r="N209" s="391"/>
      <c r="O209" s="391"/>
      <c r="P209" s="391"/>
      <c r="Q209" s="391"/>
      <c r="R209" s="391"/>
      <c r="S209" s="391"/>
      <c r="T209" s="391"/>
      <c r="U209" s="391"/>
      <c r="V209" s="391"/>
      <c r="W209" s="391"/>
    </row>
    <row r="210" ht="15.75" customHeight="1">
      <c r="A210" s="391"/>
      <c r="B210" s="396"/>
      <c r="C210" s="391"/>
      <c r="D210" s="391"/>
      <c r="E210" s="391"/>
      <c r="F210" s="396"/>
      <c r="G210" s="397"/>
      <c r="H210" s="397"/>
      <c r="I210" s="391"/>
      <c r="J210" s="391"/>
      <c r="K210" s="391"/>
      <c r="L210" s="391"/>
      <c r="M210" s="391"/>
      <c r="N210" s="391"/>
      <c r="O210" s="391"/>
      <c r="P210" s="391"/>
      <c r="Q210" s="391"/>
      <c r="R210" s="391"/>
      <c r="S210" s="391"/>
      <c r="T210" s="391"/>
      <c r="U210" s="391"/>
      <c r="V210" s="391"/>
      <c r="W210" s="391"/>
    </row>
    <row r="211" ht="15.75" customHeight="1">
      <c r="A211" s="391"/>
      <c r="B211" s="396"/>
      <c r="C211" s="391"/>
      <c r="D211" s="391"/>
      <c r="E211" s="391"/>
      <c r="F211" s="396"/>
      <c r="G211" s="397"/>
      <c r="H211" s="397"/>
      <c r="I211" s="391"/>
      <c r="J211" s="391"/>
      <c r="K211" s="391"/>
      <c r="L211" s="391"/>
      <c r="M211" s="391"/>
      <c r="N211" s="391"/>
      <c r="O211" s="391"/>
      <c r="P211" s="391"/>
      <c r="Q211" s="391"/>
      <c r="R211" s="391"/>
      <c r="S211" s="391"/>
      <c r="T211" s="391"/>
      <c r="U211" s="391"/>
      <c r="V211" s="391"/>
      <c r="W211" s="391"/>
    </row>
    <row r="212" ht="15.75" customHeight="1">
      <c r="A212" s="391"/>
      <c r="B212" s="396"/>
      <c r="C212" s="391"/>
      <c r="D212" s="391"/>
      <c r="E212" s="391"/>
      <c r="F212" s="396"/>
      <c r="G212" s="397"/>
      <c r="H212" s="397"/>
      <c r="I212" s="391"/>
      <c r="J212" s="391"/>
      <c r="K212" s="391"/>
      <c r="L212" s="391"/>
      <c r="M212" s="391"/>
      <c r="N212" s="391"/>
      <c r="O212" s="391"/>
      <c r="P212" s="391"/>
      <c r="Q212" s="391"/>
      <c r="R212" s="391"/>
      <c r="S212" s="391"/>
      <c r="T212" s="391"/>
      <c r="U212" s="391"/>
      <c r="V212" s="391"/>
      <c r="W212" s="391"/>
    </row>
    <row r="213" ht="15.75" customHeight="1">
      <c r="A213" s="391"/>
      <c r="B213" s="396"/>
      <c r="C213" s="391"/>
      <c r="D213" s="391"/>
      <c r="E213" s="391"/>
      <c r="F213" s="396"/>
      <c r="G213" s="397"/>
      <c r="H213" s="397"/>
      <c r="I213" s="391"/>
      <c r="J213" s="391"/>
      <c r="K213" s="391"/>
      <c r="L213" s="391"/>
      <c r="M213" s="391"/>
      <c r="N213" s="391"/>
      <c r="O213" s="391"/>
      <c r="P213" s="391"/>
      <c r="Q213" s="391"/>
      <c r="R213" s="391"/>
      <c r="S213" s="391"/>
      <c r="T213" s="391"/>
      <c r="U213" s="391"/>
      <c r="V213" s="391"/>
      <c r="W213" s="391"/>
    </row>
    <row r="214" ht="15.75" customHeight="1">
      <c r="A214" s="391"/>
      <c r="B214" s="396"/>
      <c r="C214" s="391"/>
      <c r="D214" s="391"/>
      <c r="E214" s="391"/>
      <c r="F214" s="396"/>
      <c r="G214" s="397"/>
      <c r="H214" s="397"/>
      <c r="I214" s="391"/>
      <c r="J214" s="391"/>
      <c r="K214" s="391"/>
      <c r="L214" s="391"/>
      <c r="M214" s="391"/>
      <c r="N214" s="391"/>
      <c r="O214" s="391"/>
      <c r="P214" s="391"/>
      <c r="Q214" s="391"/>
      <c r="R214" s="391"/>
      <c r="S214" s="391"/>
      <c r="T214" s="391"/>
      <c r="U214" s="391"/>
      <c r="V214" s="391"/>
      <c r="W214" s="391"/>
    </row>
    <row r="215" ht="15.75" customHeight="1">
      <c r="A215" s="391"/>
      <c r="B215" s="396"/>
      <c r="C215" s="391"/>
      <c r="D215" s="391"/>
      <c r="E215" s="391"/>
      <c r="F215" s="396"/>
      <c r="G215" s="397"/>
      <c r="H215" s="397"/>
      <c r="I215" s="391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  <c r="T215" s="391"/>
      <c r="U215" s="391"/>
      <c r="V215" s="391"/>
      <c r="W215" s="391"/>
    </row>
    <row r="216" ht="15.75" customHeight="1">
      <c r="A216" s="391"/>
      <c r="B216" s="396"/>
      <c r="C216" s="391"/>
      <c r="D216" s="391"/>
      <c r="E216" s="391"/>
      <c r="F216" s="396"/>
      <c r="G216" s="397"/>
      <c r="H216" s="397"/>
      <c r="I216" s="391"/>
      <c r="J216" s="391"/>
      <c r="K216" s="391"/>
      <c r="L216" s="391"/>
      <c r="M216" s="391"/>
      <c r="N216" s="391"/>
      <c r="O216" s="391"/>
      <c r="P216" s="391"/>
      <c r="Q216" s="391"/>
      <c r="R216" s="391"/>
      <c r="S216" s="391"/>
      <c r="T216" s="391"/>
      <c r="U216" s="391"/>
      <c r="V216" s="391"/>
      <c r="W216" s="391"/>
    </row>
    <row r="217" ht="15.75" customHeight="1">
      <c r="A217" s="391"/>
      <c r="B217" s="396"/>
      <c r="C217" s="391"/>
      <c r="D217" s="391"/>
      <c r="E217" s="391"/>
      <c r="F217" s="396"/>
      <c r="G217" s="397"/>
      <c r="H217" s="397"/>
      <c r="I217" s="391"/>
      <c r="J217" s="391"/>
      <c r="K217" s="391"/>
      <c r="L217" s="391"/>
      <c r="M217" s="391"/>
      <c r="N217" s="391"/>
      <c r="O217" s="391"/>
      <c r="P217" s="391"/>
      <c r="Q217" s="391"/>
      <c r="R217" s="391"/>
      <c r="S217" s="391"/>
      <c r="T217" s="391"/>
      <c r="U217" s="391"/>
      <c r="V217" s="391"/>
      <c r="W217" s="391"/>
    </row>
    <row r="218" ht="15.75" customHeight="1">
      <c r="A218" s="391"/>
      <c r="B218" s="396"/>
      <c r="C218" s="391"/>
      <c r="D218" s="391"/>
      <c r="E218" s="391"/>
      <c r="F218" s="396"/>
      <c r="G218" s="397"/>
      <c r="H218" s="397"/>
      <c r="I218" s="391"/>
      <c r="J218" s="391"/>
      <c r="K218" s="391"/>
      <c r="L218" s="391"/>
      <c r="M218" s="391"/>
      <c r="N218" s="391"/>
      <c r="O218" s="391"/>
      <c r="P218" s="391"/>
      <c r="Q218" s="391"/>
      <c r="R218" s="391"/>
      <c r="S218" s="391"/>
      <c r="T218" s="391"/>
      <c r="U218" s="391"/>
      <c r="V218" s="391"/>
      <c r="W218" s="391"/>
    </row>
    <row r="219" ht="15.75" customHeight="1">
      <c r="A219" s="391"/>
      <c r="B219" s="396"/>
      <c r="C219" s="391"/>
      <c r="D219" s="391"/>
      <c r="E219" s="391"/>
      <c r="F219" s="396"/>
      <c r="G219" s="397"/>
      <c r="H219" s="397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  <c r="T219" s="391"/>
      <c r="U219" s="391"/>
      <c r="V219" s="391"/>
      <c r="W219" s="391"/>
    </row>
    <row r="220" ht="15.75" customHeight="1">
      <c r="A220" s="391"/>
      <c r="B220" s="396"/>
      <c r="C220" s="391"/>
      <c r="D220" s="391"/>
      <c r="E220" s="391"/>
      <c r="F220" s="396"/>
      <c r="G220" s="397"/>
      <c r="H220" s="397"/>
      <c r="I220" s="391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  <c r="T220" s="391"/>
      <c r="U220" s="391"/>
      <c r="V220" s="391"/>
      <c r="W220" s="391"/>
    </row>
    <row r="221" ht="15.75" customHeight="1">
      <c r="A221" s="391"/>
      <c r="B221" s="396"/>
      <c r="C221" s="391"/>
      <c r="D221" s="391"/>
      <c r="E221" s="391"/>
      <c r="F221" s="396"/>
      <c r="G221" s="397"/>
      <c r="H221" s="397"/>
      <c r="I221" s="391"/>
      <c r="J221" s="391"/>
      <c r="K221" s="391"/>
      <c r="L221" s="391"/>
      <c r="M221" s="391"/>
      <c r="N221" s="391"/>
      <c r="O221" s="391"/>
      <c r="P221" s="391"/>
      <c r="Q221" s="391"/>
      <c r="R221" s="391"/>
      <c r="S221" s="391"/>
      <c r="T221" s="391"/>
      <c r="U221" s="391"/>
      <c r="V221" s="391"/>
      <c r="W221" s="391"/>
    </row>
    <row r="222" ht="15.75" customHeight="1">
      <c r="A222" s="391"/>
      <c r="B222" s="396"/>
      <c r="C222" s="391"/>
      <c r="D222" s="391"/>
      <c r="E222" s="391"/>
      <c r="F222" s="396"/>
      <c r="G222" s="397"/>
      <c r="H222" s="397"/>
      <c r="I222" s="391"/>
      <c r="J222" s="391"/>
      <c r="K222" s="391"/>
      <c r="L222" s="391"/>
      <c r="M222" s="391"/>
      <c r="N222" s="391"/>
      <c r="O222" s="391"/>
      <c r="P222" s="391"/>
      <c r="Q222" s="391"/>
      <c r="R222" s="391"/>
      <c r="S222" s="391"/>
      <c r="T222" s="391"/>
      <c r="U222" s="391"/>
      <c r="V222" s="391"/>
      <c r="W222" s="391"/>
    </row>
    <row r="223" ht="15.75" customHeight="1">
      <c r="A223" s="391"/>
      <c r="B223" s="396"/>
      <c r="C223" s="391"/>
      <c r="D223" s="391"/>
      <c r="E223" s="391"/>
      <c r="F223" s="396"/>
      <c r="G223" s="397"/>
      <c r="H223" s="397"/>
      <c r="I223" s="391"/>
      <c r="J223" s="391"/>
      <c r="K223" s="391"/>
      <c r="L223" s="391"/>
      <c r="M223" s="391"/>
      <c r="N223" s="391"/>
      <c r="O223" s="391"/>
      <c r="P223" s="391"/>
      <c r="Q223" s="391"/>
      <c r="R223" s="391"/>
      <c r="S223" s="391"/>
      <c r="T223" s="391"/>
      <c r="U223" s="391"/>
      <c r="V223" s="391"/>
      <c r="W223" s="391"/>
    </row>
    <row r="224" ht="15.75" customHeight="1">
      <c r="A224" s="391"/>
      <c r="B224" s="396"/>
      <c r="C224" s="391"/>
      <c r="D224" s="391"/>
      <c r="E224" s="391"/>
      <c r="F224" s="396"/>
      <c r="G224" s="397"/>
      <c r="H224" s="397"/>
      <c r="I224" s="391"/>
      <c r="J224" s="391"/>
      <c r="K224" s="391"/>
      <c r="L224" s="391"/>
      <c r="M224" s="391"/>
      <c r="N224" s="391"/>
      <c r="O224" s="391"/>
      <c r="P224" s="391"/>
      <c r="Q224" s="391"/>
      <c r="R224" s="391"/>
      <c r="S224" s="391"/>
      <c r="T224" s="391"/>
      <c r="U224" s="391"/>
      <c r="V224" s="391"/>
      <c r="W224" s="391"/>
    </row>
    <row r="225" ht="15.75" customHeight="1">
      <c r="A225" s="391"/>
      <c r="B225" s="396"/>
      <c r="C225" s="391"/>
      <c r="D225" s="391"/>
      <c r="E225" s="391"/>
      <c r="F225" s="396"/>
      <c r="G225" s="397"/>
      <c r="H225" s="397"/>
      <c r="I225" s="391"/>
      <c r="J225" s="391"/>
      <c r="K225" s="391"/>
      <c r="L225" s="391"/>
      <c r="M225" s="391"/>
      <c r="N225" s="391"/>
      <c r="O225" s="391"/>
      <c r="P225" s="391"/>
      <c r="Q225" s="391"/>
      <c r="R225" s="391"/>
      <c r="S225" s="391"/>
      <c r="T225" s="391"/>
      <c r="U225" s="391"/>
      <c r="V225" s="391"/>
      <c r="W225" s="391"/>
    </row>
    <row r="226" ht="15.75" customHeight="1">
      <c r="A226" s="391"/>
      <c r="B226" s="396"/>
      <c r="C226" s="391"/>
      <c r="D226" s="391"/>
      <c r="E226" s="391"/>
      <c r="F226" s="396"/>
      <c r="G226" s="397"/>
      <c r="H226" s="397"/>
      <c r="I226" s="391"/>
      <c r="J226" s="391"/>
      <c r="K226" s="391"/>
      <c r="L226" s="391"/>
      <c r="M226" s="391"/>
      <c r="N226" s="391"/>
      <c r="O226" s="391"/>
      <c r="P226" s="391"/>
      <c r="Q226" s="391"/>
      <c r="R226" s="391"/>
      <c r="S226" s="391"/>
      <c r="T226" s="391"/>
      <c r="U226" s="391"/>
      <c r="V226" s="391"/>
      <c r="W226" s="39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